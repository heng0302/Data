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Daily Active" sheetId="2" r:id="rId5"/>
    <sheet state="visible" name="Daily Active User Raw" sheetId="3" r:id="rId6"/>
    <sheet state="visible" name="Daily Active User" sheetId="4" r:id="rId7"/>
  </sheets>
  <definedNames/>
  <calcPr/>
</workbook>
</file>

<file path=xl/sharedStrings.xml><?xml version="1.0" encoding="utf-8"?>
<sst xmlns="http://schemas.openxmlformats.org/spreadsheetml/2006/main" count="521" uniqueCount="177">
  <si>
    <t>Total Register</t>
  </si>
  <si>
    <t>Total Login</t>
  </si>
  <si>
    <t>Date</t>
  </si>
  <si>
    <t>Total Active</t>
  </si>
  <si>
    <t>Active Date</t>
  </si>
  <si>
    <t>mail-address</t>
  </si>
  <si>
    <t>chandararot-kang@mptc.gov.kh, dev@mptc.gov.kh, phalkun-tep@mptc.gov.kh, vannak-uk@mptc.gov.kh</t>
  </si>
  <si>
    <t>chansovong-sieng@mptc.gov.kh</t>
  </si>
  <si>
    <t>chandararot-kang@mptc.gov.kh, dev@mptc.gov.kh, pengchhorng-mut@mptc.gov.kh, vannak-uk@mptc.gov.kh</t>
  </si>
  <si>
    <t>chandararot-kang@mptc.gov.kh, sovan@mptc.gov.kh, sovann-en@mptc.gov.kh</t>
  </si>
  <si>
    <t>indeara-tim@mptc.gov.kh, sochea-pak@mptc.gov.kh</t>
  </si>
  <si>
    <t>chamnan-leng@mptc.gov.kh, dev@mptc.gov.kh</t>
  </si>
  <si>
    <t>ahmath-math@mptc.gov.kh, chandararot-kang@mptc.gov.kh</t>
  </si>
  <si>
    <t>chandararot-kang@mptc.gov.kh, chongeang-you@mptc.gov.kh</t>
  </si>
  <si>
    <t>dev@mptc.gov.kh, lam-phav@mptc.gov.kh</t>
  </si>
  <si>
    <t>chandararot-kang@mptc.gov.kh, pengchhorng-mut@mptc.gov.kh, suyharn-hour@mptc.gov.kh</t>
  </si>
  <si>
    <t>chandararot-kang@mptc.gov.kh, dev@mptc.gov.kh, sitha-sor@mptc.gov.kh, suyharn-hour@mptc.gov.kh, vannak-uk@mptc.gov.kh</t>
  </si>
  <si>
    <t>chandararot-kang@mptc.gov.kh, vannak-uk@mptc.gov.kh</t>
  </si>
  <si>
    <t>chansovong-sieng@mptc.gov.kh, kassa-chan@mptc.gov.kh, sokphath-ly@mptc.gov.kh, vannak-uk@mptc.gov.kh</t>
  </si>
  <si>
    <t>dev@mptc.gov.kh, sokphath-ly@mptc.gov.kh, vannak-uk@mptc.gov.kh</t>
  </si>
  <si>
    <t>vannak-uk@mptc.gov.kh, viseth-son@mptc.gov.kh</t>
  </si>
  <si>
    <t>chandararot-kang@mptc.gov.kh, kimhok-bou@mptc.gov.kh, official@mptc.gov.kh, phimean-sovan@mptc.gov.kh, piseth-chanty@mptc.gov.kh, praneth-mom@mptc.gov.kh, suyharn-hour@mptc.gov.kh, viseth-than@mptc.gov.kh</t>
  </si>
  <si>
    <t>chandararot-kang@mptc.gov.kh, solyda-sok@mptc.gov.kh</t>
  </si>
  <si>
    <t>chandararot-kang@mptc.gov.kh, official@mptc.gov.kh, pengchhorng-mut@mptc.gov.kh, praneth-mom@mptc.gov.kh</t>
  </si>
  <si>
    <t>ra-an@mptc.gov.kh</t>
  </si>
  <si>
    <t>pengchhorng-mut@mptc.gov.kh, vannak-uk@mptc.gov.kh</t>
  </si>
  <si>
    <t>kimsrann-neak@mptc.gov.kh, piseth-chanty@mptc.gov.kh, viseth-than@mptc.gov.kh</t>
  </si>
  <si>
    <t>chandararot-kang@mptc.gov.kh, viseth-son@mptc.gov.kh</t>
  </si>
  <si>
    <t>official@mptc.gov.kh</t>
  </si>
  <si>
    <t>chandararot-kang@mptc.gov.kh, setho-chea@mptc.gov.kh, vannak-uk@mptc.gov.kh</t>
  </si>
  <si>
    <t>official@mptc.gov.kh, phanndavid-phan@mptc.gov.kh, somnang-eng@mptc.gov.kh</t>
  </si>
  <si>
    <t>kassa-chan@mptc.gov.kh, lam-phav@mptc.gov.kh, phimean-sovan@mptc.gov.kh</t>
  </si>
  <si>
    <t>indeara-tim@mptc.gov.kh, kassa-chan@mptc.gov.kh</t>
  </si>
  <si>
    <t>chandararot-kang@mptc.gov.kh</t>
  </si>
  <si>
    <t>chamnan-leng@mptc.gov.kh, receiver@mptc.gov.kh</t>
  </si>
  <si>
    <t>dev@mptc.gov.kh</t>
  </si>
  <si>
    <t>sosithya-nhean@mptc.gov.kh, theara-lonh@mptc.gov.kh</t>
  </si>
  <si>
    <t>official@mptc.gov.kh, piseth-an@mptc.gov.kh, sovann-en@mptc.gov.kh, visal-ouk@mptc.gov.kh</t>
  </si>
  <si>
    <t>dev@mptc.gov.kh, lam-phav@mptc.gov.kh, official@mptc.gov.kh, vannak-uk@mptc.gov.kh</t>
  </si>
  <si>
    <t>dev@mptc.gov.kh, piseth-an@mptc.gov.kh</t>
  </si>
  <si>
    <t>chandararot-kang@mptc.gov.kh, dev@mptc.gov.kh, indeara-tim@mptc.gov.kh, piseth-chanty@mptc.gov.kh, rapid-sun@mptc.gov.kh, signkheang-kheng@mptc.gov.kh</t>
  </si>
  <si>
    <t>chandararot-kang@mptc.gov.kh, dev@mptc.gov.kh, official@mptc.gov.kh, pengchhorng-mut@mptc.gov.kh, phanndavid-phan@mptc.gov.kh, receiver@mptc.gov.kh, signkheang-kheng@mptc.gov.kh, suynaen-chong@mptc.gov.kh</t>
  </si>
  <si>
    <t>signkheang-kheng@mptc.gov.kh</t>
  </si>
  <si>
    <t>dev@mptc.gov.kh, official@mptc.gov.kh, receiver@mptc.gov.kh, signkheang-kheng@mptc.gov.kh, socheata@mptc.gov.kh, sokranupheap-chim@mptc.gov.kh</t>
  </si>
  <si>
    <t>dev@mptc.gov.kh, indeara-tim@mptc.gov.kh, official@mptc.gov.kh, pengchhorng-mut@mptc.gov.kh, receiver@mptc.gov.kh, signkheang-kheng@mptc.gov.kh, sokranupheap-chim@mptc.gov.kh</t>
  </si>
  <si>
    <t>chandararot-kang@mptc.gov.kh, dev@mptc.gov.kh, pengchhorng-mut@mptc.gov.kh, tola-hoem@mptc.gov.kh, viseth-than@mptc.gov.kh</t>
  </si>
  <si>
    <t>dev@mptc.gov.kh, kimsrann-neak@mptc.gov.kh, piseth-chanty@mptc.gov.kh, sokranupheap-chim@mptc.gov.kh</t>
  </si>
  <si>
    <t>dev@mptc.gov.kh, official@mptc.gov.kh, semtararath-pot@mptc.gov.kh, vannak-uk@mptc.gov.kh</t>
  </si>
  <si>
    <t>chhaknak-chan@mptc.gov.kh, dev@mptc.gov.kh, pengchhorng-mut@mptc.gov.kh, socheata@mptc.gov.kh, vannak-uk@mptc.gov.kh</t>
  </si>
  <si>
    <t>lam-phav@mptc.gov.kh, vannak-uk@mptc.gov.kh</t>
  </si>
  <si>
    <t>vannak-uk@mptc.gov.kh</t>
  </si>
  <si>
    <t>admin@mptc.gov.kh, vannak-uk@mptc.gov.kh</t>
  </si>
  <si>
    <t>chansopheaktra-cheam@mptc.gov.kh, vannak-uk@mptc.gov.kh</t>
  </si>
  <si>
    <t>dev@mptc.gov.kh, indeara-tim@mptc.gov.kh, kanhchana-eng@mptc.gov.kh, vannak-uk@mptc.gov.kh</t>
  </si>
  <si>
    <t>lam-phav@mptc.gov.kh, socheata@mptc.gov.kh, vannak-uk@mptc.gov.kh</t>
  </si>
  <si>
    <t>indeara-tim@mptc.gov.kh</t>
  </si>
  <si>
    <t>sochea-pak@mptc.gov.kh, vannak-uk@mptc.gov.kh</t>
  </si>
  <si>
    <t>dev@mptc.gov.kh, indeara-tim@mptc.gov.kh, official@mptc.gov.kh, sochea-pak@mptc.gov.kh, vannak-uk@mptc.gov.kh, visal-ouk@mptc.gov.kh</t>
  </si>
  <si>
    <t>ahmath-math@mptc.gov.kh, chongeang-you@mptc.gov.kh, indeara-tim@mptc.gov.kh, kimsrann-neak@mptc.gov.kh, vannak-uk@mptc.gov.kh</t>
  </si>
  <si>
    <t>davy-sorn@mptc.gov.kh, dev@mptc.gov.kh, lam-phav@mptc.gov.kh, suyharn-hour@mptc.gov.kh, vannak-uk@mptc.gov.kh</t>
  </si>
  <si>
    <t>kassa-chan@mptc.gov.kh, sochea-pak@mptc.gov.kh, theara-lonh@mptc.gov.kh, vannak-uk@mptc.gov.kh</t>
  </si>
  <si>
    <t>indeara-tim@mptc.gov.kh, lam-phav@mptc.gov.kh, pengchhorng-mut@mptc.gov.kh, vannak-uk@mptc.gov.kh</t>
  </si>
  <si>
    <t>kassa-chan@mptc.gov.kh, vannak-uk@mptc.gov.kh</t>
  </si>
  <si>
    <t>kimsrann-neak@mptc.gov.kh, vannak-uk@mptc.gov.kh</t>
  </si>
  <si>
    <t>chongeang-you@mptc.gov.kh, dev@mptc.gov.kh, lam-phav@mptc.gov.kh, pengchhorng-mut@mptc.gov.kh, sochea-pak@mptc.gov.kh, suyharn-hour@mptc.gov.kh, vannak-uk@mptc.gov.kh</t>
  </si>
  <si>
    <t>dev@mptc.gov.kh, sochea-pak@mptc.gov.kh, thavann.b@gmail.com, vannak-uk@mptc.gov.kh</t>
  </si>
  <si>
    <t>dev@mptc.gov.kh, pengchhorng-mut@mptc.gov.kh</t>
  </si>
  <si>
    <t>dev@mptc.gov.kh, indeara-tim@mptc.gov.kh, kassa-chan@mptc.gov.kh, official@mptc.gov.kh, receiver@mptc.gov.kh, socheata@mptc.gov.kh, sokheng-tep@mptc.gov.kh, thavann.b@gmail.com, vannak-uk@mptc.gov.kh</t>
  </si>
  <si>
    <t>dev@mptc.gov.kh, vannak-uk@mptc.gov.kh</t>
  </si>
  <si>
    <t>davy-sorn@mptc.gov.kh, dev@mptc.gov.kh, kassa-chan@mptc.gov.kh, rapid-sun@mptc.gov.kh, vannak-uk@mptc.gov.kh, voeun-hey@mptc.gov.kh</t>
  </si>
  <si>
    <t>dev@mptc.gov.kh, indeara-tim@mptc.gov.kh, kassa-chan@mptc.gov.kh, vannak-uk@mptc.gov.kh</t>
  </si>
  <si>
    <t>dev@mptc.gov.kh, kassa-chan@mptc.gov.kh, lam-phav@mptc.gov.kh, lyhongny-horm@mptc.gov.kh, monyvibol-sat@mptc.gov.kh, noeun-kong@mptc.gov.kh, official@mptc.gov.kh, pengchhorng-mut@mptc.gov.kh, receiver@mptc.gov.kh, scheduler@mptc.gov.kh, semtararath-pot@m...</t>
  </si>
  <si>
    <t>dev@mptc.gov.kh, indeara-tim@mptc.gov.kh, kassa-chan@mptc.gov.kh, lyhongny-horm@mptc.gov.kh, sochea-pak@mptc.gov.kh, sophea-uk@mptc.gov.kh, suyharn-hour@mptc.gov.kh, vannak-uk@mptc.gov.kh</t>
  </si>
  <si>
    <t>chandararot-kang@mptc.gov.kh, dev@mptc.gov.kh, kassa-chan@mptc.gov.kh, kimsrann-neak@mptc.gov.kh, pengchhorng-mut@mptc.gov.kh, sothon-pov@mptc.gov.kh, vannak-uk@mptc.gov.kh</t>
  </si>
  <si>
    <t>dev@mptc.gov.kh, indeara-tim@mptc.gov.kh, navy-sun@mptc.gov.kh, official@mptc.gov.kh, sochea-pak@mptc.gov.kh, solar-pich@mptc.gov.kh, vannak-uk@mptc.gov.kh</t>
  </si>
  <si>
    <t>kassa-chan@mptc.gov.kh, sochea-pak@mptc.gov.kh, solar-pich@mptc.gov.kh, vannak-uk@mptc.gov.kh</t>
  </si>
  <si>
    <t>kassa-chan@mptc.gov.kh, phanndavid-phan@mptc.gov.kh, solar-pich@mptc.gov.kh, vannak-uk@mptc.gov.kh</t>
  </si>
  <si>
    <t>ahmath-math@mptc.gov.kh, indeara-tim@mptc.gov.kh, piseth-an@mptc.gov.kh, vannak-uk@mptc.gov.kh</t>
  </si>
  <si>
    <t>chandararot-kang@mptc.gov.kh, kassa-chan@mptc.gov.kh</t>
  </si>
  <si>
    <t>phanndavid-phan@mptc.gov.kh, vannak-uk@mptc.gov.kh</t>
  </si>
  <si>
    <t>chansovong-sieng@mptc.gov.kh, kong@mptc.gov.kh, mardy-peng@mptc.gov.kh, setho-chea@mptc.gov.kh</t>
  </si>
  <si>
    <t>kassa-chan@mptc.gov.kh, rapid-sun@mptc.gov.kh, sochea-pak@mptc.gov.kh, sovann-en@mptc.gov.kh, vannak-uk@mptc.gov.kh</t>
  </si>
  <si>
    <t>kong@mptc.gov.kh, sochea-pak@mptc.gov.kh, vannak-uk@mptc.gov.kh</t>
  </si>
  <si>
    <t>ahmath-math@mptc.gov.kh, chandararot-kang@mptc.gov.kh, kimsrann-neak@mptc.gov.kh, kong@mptc.gov.kh, vannak-uk@mptc.gov.kh</t>
  </si>
  <si>
    <t>dararith-hoeung@mptc.gov.kh, sovann-en@mptc.gov.kh, vannak-uk@mptc.gov.kh</t>
  </si>
  <si>
    <t>chandararot-kang@mptc.gov.kh, dev@mptc.gov.kh, sochea-pak@mptc.gov.kh, vannak-uk@mptc.gov.kh</t>
  </si>
  <si>
    <t>sochea-pak@mptc.gov.kh</t>
  </si>
  <si>
    <t>indeara-tim@mptc.gov.kh, vannak-uk@mptc.gov.kh</t>
  </si>
  <si>
    <t>mardy-peng@mptc.gov.kh, sochea-pak@mptc.gov.kh, sovann-en@mptc.gov.kh, vannak-uk@mptc.gov.kh</t>
  </si>
  <si>
    <t>sochea-pak@mptc.gov.kh, sophanith-pech@mptc.gov.kh, vannak-uk@mptc.gov.kh</t>
  </si>
  <si>
    <t>pengchhorng-mut@mptc.gov.kh, piseth-an@mptc.gov.kh</t>
  </si>
  <si>
    <t>kassa-chan@mptc.gov.kh</t>
  </si>
  <si>
    <t>noeun-kong@mptc.gov.kh, official@mptc.gov.kh</t>
  </si>
  <si>
    <t>davy-sorn@mptc.gov.kh, dev@mptc.gov.kh, lam-phav@mptc.gov.kh, noeun-kong@mptc.gov.kh, phanndavid-phan@mptc.gov.kh, signkheang-kheng@mptc.gov.kh</t>
  </si>
  <si>
    <t>davy-sorn@mptc.gov.kh, dev@mptc.gov.kh, noeun-kong@mptc.gov.kh, sochea-pak@mptc.gov.kh</t>
  </si>
  <si>
    <t>dev@mptc.gov.kh, phanndavid-phan@mptc.gov.kh, saman-lun@mptc.gov.kh, signkheang-kheng@mptc.gov.kh, sochea-pak@mptc.gov.kh</t>
  </si>
  <si>
    <t>chandararot-kang@mptc.gov.kh, sovann-en@mptc.gov.kh</t>
  </si>
  <si>
    <t>dev@mptc.gov.kh, piseth-chanty@mptc.gov.kh</t>
  </si>
  <si>
    <t>lam-phav@mptc.gov.kh, phanndavid-phan@mptc.gov.kh, vannak-uk@mptc.gov.kh</t>
  </si>
  <si>
    <t>kimhuy-touch@mptc.gov.kh, kong@mptc.gov.kh, sochea-pak@mptc.gov.kh, vannak-uk@mptc.gov.kh</t>
  </si>
  <si>
    <t>dev@mptc.gov.kh, kimsrann-neak@mptc.gov.kh, navy-sun@mptc.gov.kh, praneth-mom@mptc.gov.kh, vannak-uk@mptc.gov.kh</t>
  </si>
  <si>
    <t>morokot-cheat@mptc.gov.kh</t>
  </si>
  <si>
    <t>indeara-tim@mptc.gov.kh, morokot-cheat@mptc.gov.kh, navy-sun@mptc.gov.kh, praneth-mom@mptc.gov.kh, vannak-uk@mptc.gov.kh, visal-ouk@mptc.gov.kh</t>
  </si>
  <si>
    <t>dararith-hoeung@mptc.gov.kh, noeun-kong@mptc.gov.kh, official@mptc.gov.kh, pengchhorng-mut@mptc.gov.kh, sichhiek-seng@mptc.gov.kh, signkheang-kheng@mptc.gov.kh, sochea-pak@mptc.gov.kh, socheata@mptc.gov.kh, vanna-phy@mptc.gov.kh, vannak-uk@mptc.gov.kh, y...</t>
  </si>
  <si>
    <t>dev@mptc.gov.kh, khunheng-khay@mptc.gov.kh, official@mptc.gov.kh, solyda-sok@mptc.gov.kh, sovan@mptc.gov.kh, vandeth@mptc.gov.kh</t>
  </si>
  <si>
    <t>noeun-kong@mptc.gov.kh, vannak-uk@mptc.gov.kh</t>
  </si>
  <si>
    <t>kimhuy-touch@mptc.gov.kh, lam-phav@mptc.gov.kh, noeun-kong@mptc.gov.kh, vannak-uk@mptc.gov.kh</t>
  </si>
  <si>
    <t>noeun-kong@mptc.gov.kh, sochea-pak@mptc.gov.kh, vannak-uk@mptc.gov.kh</t>
  </si>
  <si>
    <t>angkearathanak@mptc.gov.kh, angkeasela@mptc.gov.kh, dev@mptc.gov.kh, kimheng-liv@mptc.gov.kh, lam-phav@mptc.gov.kh, monyvibol-sat@mptc.gov.kh, noeun-kong@mptc.gov.kh, vandeth@mptc.gov.kh, vanna-phy@mptc.gov.kh, vicheka-sek@mptc.gov.kh, visal-kron@mptc.go...</t>
  </si>
  <si>
    <t>Active User</t>
  </si>
  <si>
    <t>phalkun-tep@mptc.gov.kh</t>
  </si>
  <si>
    <t>pengchhorng-mut@mptc.gov.kh</t>
  </si>
  <si>
    <t>sovan@mptc.gov.kh</t>
  </si>
  <si>
    <t>sovann-en@mptc.gov.kh</t>
  </si>
  <si>
    <t>chamnan-leng@mptc.gov.kh</t>
  </si>
  <si>
    <t>ahmath-math@mptc.gov.kh</t>
  </si>
  <si>
    <t>chongeang-you@mptc.gov.kh</t>
  </si>
  <si>
    <t>lam-phav@mptc.gov.kh</t>
  </si>
  <si>
    <t>suyharn-hour@mptc.gov.kh</t>
  </si>
  <si>
    <t>sitha-sor@mptc.gov.kh</t>
  </si>
  <si>
    <t>sokphath-ly@mptc.gov.kh</t>
  </si>
  <si>
    <t>viseth-son@mptc.gov.kh</t>
  </si>
  <si>
    <t>kimhok-bou@mptc.gov.kh</t>
  </si>
  <si>
    <t>phimean-sovan@mptc.gov.kh</t>
  </si>
  <si>
    <t>piseth-chanty@mptc.gov.kh</t>
  </si>
  <si>
    <t>praneth-mom@mptc.gov.kh</t>
  </si>
  <si>
    <t>viseth-than@mptc.gov.kh</t>
  </si>
  <si>
    <t>solyda-sok@mptc.gov.kh</t>
  </si>
  <si>
    <t>kimsrann-neak@mptc.gov.kh</t>
  </si>
  <si>
    <t>setho-chea@mptc.gov.kh</t>
  </si>
  <si>
    <t>phanndavid-phan@mptc.gov.kh</t>
  </si>
  <si>
    <t>somnang-eng@mptc.gov.kh</t>
  </si>
  <si>
    <t>receiver@mptc.gov.kh</t>
  </si>
  <si>
    <t>sosithya-nhean@mptc.gov.kh</t>
  </si>
  <si>
    <t>theara-lonh@mptc.gov.kh</t>
  </si>
  <si>
    <t>piseth-an@mptc.gov.kh</t>
  </si>
  <si>
    <t>visal-ouk@mptc.gov.kh</t>
  </si>
  <si>
    <t>rapid-sun@mptc.gov.kh</t>
  </si>
  <si>
    <t>suynaen-chong@mptc.gov.kh</t>
  </si>
  <si>
    <t>socheata@mptc.gov.kh</t>
  </si>
  <si>
    <t>sokranupheap-chim@mptc.gov.kh</t>
  </si>
  <si>
    <t xml:space="preserve"> tola-hoem@mptc.gov.kh</t>
  </si>
  <si>
    <t>semtararath-pot@mptc.gov.kh</t>
  </si>
  <si>
    <t>chhaknak-chan@mptc.gov.kh</t>
  </si>
  <si>
    <t>admin@mptc.gov.kh</t>
  </si>
  <si>
    <t>chansopheaktra-cheam@mptc.gov.kh</t>
  </si>
  <si>
    <t>kanhchana-eng@mptc.gov.kh</t>
  </si>
  <si>
    <t>davy-sorn@mptc.gov.kh</t>
  </si>
  <si>
    <t xml:space="preserve"> suyharn-hour@mptc.gov.kh</t>
  </si>
  <si>
    <t xml:space="preserve">dev@mptc.gov.kh, </t>
  </si>
  <si>
    <t xml:space="preserve">sochea-pak@mptc.gov.kh, </t>
  </si>
  <si>
    <t>thavann.b@gmail.com</t>
  </si>
  <si>
    <t>sokheng-tep@mptc.gov.kh</t>
  </si>
  <si>
    <t>voeun-hey@mptc.gov.kh</t>
  </si>
  <si>
    <t>lyhongny-horm@mptc.gov.kh</t>
  </si>
  <si>
    <t>monyvibol-sat@mptc.gov.kh</t>
  </si>
  <si>
    <t>noeun-kong@mptc.gov.kh</t>
  </si>
  <si>
    <t>scheduler@mptc.gov.kh</t>
  </si>
  <si>
    <t>sophea-uk@mptc.gov.kh</t>
  </si>
  <si>
    <t>sothon-pov@mptc.gov.kh</t>
  </si>
  <si>
    <t>navy-sun@mptc.gov.kh</t>
  </si>
  <si>
    <t>solar-pich@mptc.gov.kh</t>
  </si>
  <si>
    <t>kong@mptc.gov.kh</t>
  </si>
  <si>
    <t>mardy-peng@mptc.gov.kh</t>
  </si>
  <si>
    <t>dararith-hoeung@mptc.gov.kh</t>
  </si>
  <si>
    <t>sophanith-pech@mptc.gov.kh</t>
  </si>
  <si>
    <t>saman-lun@mptc.gov.kh</t>
  </si>
  <si>
    <t>kimhuy-touch@mptc.gov.kh</t>
  </si>
  <si>
    <t>sichhiek-seng@mptc.gov.kh</t>
  </si>
  <si>
    <t>vanna-phy@mptc.gov.kh</t>
  </si>
  <si>
    <t>khunheng-khay@mptc.gov.kh</t>
  </si>
  <si>
    <t>vandeth@mptc.gov.kh</t>
  </si>
  <si>
    <t>angkearathanak@mptc.gov.kh</t>
  </si>
  <si>
    <t>angkeasela@mptc.gov.kh</t>
  </si>
  <si>
    <t>kimheng-liv@mptc.gov.kh</t>
  </si>
  <si>
    <t>vicheka-sek@mptc.gov.kh</t>
  </si>
  <si>
    <t>visal-kron@mptc.gov.kh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</si>
</sst>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color theme="1"/>
      <name val="Roboto"/>
    </font>
    <font>
      <sz val="10.0"/>
      <color theme="1"/>
      <name val="Roboto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1F1F1F"/>
      <name val="Arial"/>
      <scheme val="minor"/>
    </font>
    <font>
      <sz val="9.0"/>
      <color rgb="FF1F1F1F"/>
      <name val="&quot;Google Sans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3" fontId="0" numFmtId="0" xfId="0" applyAlignment="1" applyFill="1" applyFont="1">
      <alignment horizontal="left"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/>
    </xf>
    <xf borderId="0" fillId="3" fontId="7" numFmtId="0" xfId="0" applyAlignment="1" applyFont="1">
      <alignment readingOrder="0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937.0</v>
      </c>
      <c r="B2" s="1">
        <v>219.0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9.75"/>
  </cols>
  <sheetData>
    <row r="1">
      <c r="A1" s="3" t="s">
        <v>2</v>
      </c>
      <c r="B1" s="3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44743.0</v>
      </c>
      <c r="B2" s="6">
        <v>24.0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44744.0</v>
      </c>
      <c r="B3" s="8">
        <v>0.0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44745.0</v>
      </c>
      <c r="B4" s="8">
        <v>0.0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44746.0</v>
      </c>
      <c r="B5" s="6">
        <v>7.0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44747.0</v>
      </c>
      <c r="B6" s="6">
        <v>2.0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44748.0</v>
      </c>
      <c r="B7" s="6">
        <v>11.0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44749.0</v>
      </c>
      <c r="B8" s="6">
        <v>17.0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44750.0</v>
      </c>
      <c r="B9" s="6">
        <v>2.0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44751.0</v>
      </c>
      <c r="B10" s="8">
        <v>0.0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44752.0</v>
      </c>
      <c r="B11" s="8">
        <v>0.0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44753.0</v>
      </c>
      <c r="B12" s="6">
        <v>4.0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44754.0</v>
      </c>
      <c r="B13" s="6">
        <v>4.0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44755.0</v>
      </c>
      <c r="B14" s="6">
        <v>7.0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44756.0</v>
      </c>
      <c r="B15" s="6">
        <v>3.0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44757.0</v>
      </c>
      <c r="B16" s="6">
        <v>1.0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44758.0</v>
      </c>
      <c r="B17" s="6">
        <v>1.0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44759.0</v>
      </c>
      <c r="B18" s="8">
        <v>0.0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44760.0</v>
      </c>
      <c r="B19" s="6">
        <v>9.0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44761.0</v>
      </c>
      <c r="B20" s="6">
        <v>14.0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>
        <v>44762.0</v>
      </c>
      <c r="B21" s="6">
        <v>17.0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>
        <v>44763.0</v>
      </c>
      <c r="B22" s="6">
        <v>23.0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>
        <v>44764.0</v>
      </c>
      <c r="B23" s="6">
        <v>21.0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>
        <v>44765.0</v>
      </c>
      <c r="B24" s="6">
        <v>1.0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>
        <v>44766.0</v>
      </c>
      <c r="B25" s="6">
        <v>1.0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>
        <v>44767.0</v>
      </c>
      <c r="B26" s="6">
        <v>21.0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>
        <v>44768.0</v>
      </c>
      <c r="B27" s="6">
        <v>5.0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>
        <v>44769.0</v>
      </c>
      <c r="B28" s="6">
        <v>18.0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>
        <v>44770.0</v>
      </c>
      <c r="B29" s="6">
        <v>9.0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>
        <v>44771.0</v>
      </c>
      <c r="B30" s="6">
        <v>9.0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>
        <v>44772.0</v>
      </c>
      <c r="B31" s="6">
        <v>4.0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>
        <v>44773.0</v>
      </c>
      <c r="B32" s="8">
        <v>0.0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>
        <v>44774.0</v>
      </c>
      <c r="B33" s="6">
        <v>9.0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>
        <v>44775.0</v>
      </c>
      <c r="B34" s="6">
        <v>7.0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>
        <v>44776.0</v>
      </c>
      <c r="B35" s="6">
        <v>6.0</v>
      </c>
      <c r="C35" s="7"/>
      <c r="D35" s="7"/>
      <c r="E35" s="7"/>
      <c r="F35" s="9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>
        <v>44777.0</v>
      </c>
      <c r="B36" s="6">
        <v>2.0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>
        <v>44778.0</v>
      </c>
      <c r="B37" s="6">
        <v>1.0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>
        <v>44779.0</v>
      </c>
      <c r="B38" s="8">
        <v>0.0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>
        <v>44780.0</v>
      </c>
      <c r="B39" s="8">
        <v>0.0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>
        <v>44781.0</v>
      </c>
      <c r="B40" s="6">
        <v>4.0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>
        <v>44782.0</v>
      </c>
      <c r="B41" s="6">
        <v>3.0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>
        <v>44783.0</v>
      </c>
      <c r="B42" s="6">
        <v>9.0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>
        <v>44784.0</v>
      </c>
      <c r="B43" s="6">
        <v>8.0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>
        <v>44785.0</v>
      </c>
      <c r="B44" s="6">
        <v>5.0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>
        <v>44786.0</v>
      </c>
      <c r="B45" s="8">
        <v>0.0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>
        <v>44787.0</v>
      </c>
      <c r="B46" s="8">
        <v>0.0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>
        <v>44788.0</v>
      </c>
      <c r="B47" s="6">
        <v>1.0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>
        <v>44789.0</v>
      </c>
      <c r="B48" s="8">
        <v>0.0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>
        <v>44790.0</v>
      </c>
      <c r="B49" s="6">
        <v>1.0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>
        <v>44791.0</v>
      </c>
      <c r="B50" s="8">
        <v>0.0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>
        <v>44792.0</v>
      </c>
      <c r="B51" s="6">
        <v>3.0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>
        <v>44793.0</v>
      </c>
      <c r="B52" s="6">
        <v>0.0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>
        <v>44794.0</v>
      </c>
      <c r="B53" s="6">
        <v>0.0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>
        <v>44795.0</v>
      </c>
      <c r="B54" s="6">
        <v>1.0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>
        <v>44796.0</v>
      </c>
      <c r="B55" s="6">
        <v>0.0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>
        <v>44797.0</v>
      </c>
      <c r="B56" s="6">
        <v>4.0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>
        <v>44798.0</v>
      </c>
      <c r="B57" s="6">
        <v>5.0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>
        <v>44799.0</v>
      </c>
      <c r="B58" s="6">
        <v>6.0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>
        <v>44800.0</v>
      </c>
      <c r="B59" s="6">
        <v>1.0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>
        <v>44801.0</v>
      </c>
      <c r="B60" s="6">
        <v>0.0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>
        <v>44802.0</v>
      </c>
      <c r="B61" s="6">
        <v>3.0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>
        <v>44803.0</v>
      </c>
      <c r="B62" s="6">
        <v>5.0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>
        <v>44804.0</v>
      </c>
      <c r="B63" s="6">
        <v>3.0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>
        <v>44805.0</v>
      </c>
      <c r="B64" s="6">
        <v>0.0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>
        <v>44806.0</v>
      </c>
      <c r="B65" s="6">
        <v>5.0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>
        <v>44807.0</v>
      </c>
      <c r="B66" s="6">
        <v>0.0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>
        <v>44808.0</v>
      </c>
      <c r="B67" s="6">
        <v>0.0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>
        <v>44809.0</v>
      </c>
      <c r="B68" s="6">
        <v>0.0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v>44810.0</v>
      </c>
      <c r="B69" s="6">
        <v>1.0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>
        <v>44811.0</v>
      </c>
      <c r="B70" s="6">
        <v>0.0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>
        <v>44812.0</v>
      </c>
      <c r="B71" s="6">
        <v>4.0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>
        <v>44813.0</v>
      </c>
      <c r="B72" s="6">
        <v>2.0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>
        <v>44814.0</v>
      </c>
      <c r="B73" s="6">
        <v>0.0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>
        <v>44815.0</v>
      </c>
      <c r="B74" s="6">
        <v>0.0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>
        <v>44816.0</v>
      </c>
      <c r="B75" s="6">
        <v>2.0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>
        <v>44817.0</v>
      </c>
      <c r="B76" s="6">
        <v>2.0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>
        <v>44818.0</v>
      </c>
      <c r="B77" s="6">
        <v>3.0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>
        <v>44819.0</v>
      </c>
      <c r="B78" s="6">
        <v>1.0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>
        <v>44820.0</v>
      </c>
      <c r="B79" s="6">
        <v>2.0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>
        <v>44821.0</v>
      </c>
      <c r="B80" s="9">
        <v>0.0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>
        <v>44822.0</v>
      </c>
      <c r="B81" s="9">
        <v>0.0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>
        <v>44823.0</v>
      </c>
      <c r="B82" s="9">
        <v>3.0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>
        <v>44824.0</v>
      </c>
      <c r="B83" s="9">
        <v>4.0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>
        <v>44825.0</v>
      </c>
      <c r="B84" s="9">
        <v>1.0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>
        <v>44826.0</v>
      </c>
      <c r="B85" s="9">
        <v>2.0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>
        <v>44827.0</v>
      </c>
      <c r="B86" s="9">
        <v>1.0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>
        <v>44828.0</v>
      </c>
      <c r="B87" s="9">
        <v>0.0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>
        <v>44829.0</v>
      </c>
      <c r="B88" s="9">
        <v>0.0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>
        <v>44830.0</v>
      </c>
      <c r="B89" s="9">
        <v>0.0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>
        <v>44831.0</v>
      </c>
      <c r="B90" s="9">
        <v>1.0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>
        <v>44832.0</v>
      </c>
      <c r="B91" s="9">
        <v>2.0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>
        <v>44833.0</v>
      </c>
      <c r="B92" s="9">
        <v>3.0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>
        <v>44834.0</v>
      </c>
      <c r="B93" s="9">
        <v>6.0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>
        <v>44835.0</v>
      </c>
      <c r="B94" s="9">
        <v>0.0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>
        <v>44836.0</v>
      </c>
      <c r="B95" s="9">
        <v>0.0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>
        <v>44837.0</v>
      </c>
      <c r="B96" s="9">
        <v>5.0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>
        <v>44838.0</v>
      </c>
      <c r="B97" s="9">
        <v>8.0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v>44839.0</v>
      </c>
      <c r="B98" s="9">
        <v>5.0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>
        <v>44840.0</v>
      </c>
      <c r="B99" s="9">
        <v>2.0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>
        <v>44841.0</v>
      </c>
      <c r="B100" s="9">
        <v>2.0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v>44842.0</v>
      </c>
      <c r="B101" s="9">
        <v>0.0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>
        <v>44843.0</v>
      </c>
      <c r="B102" s="9">
        <v>0.0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>
        <v>44844.0</v>
      </c>
      <c r="B103" s="9">
        <v>2.0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>
        <v>44845.0</v>
      </c>
      <c r="B104" s="9">
        <v>1.0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>
        <v>44846.0</v>
      </c>
      <c r="B105" s="9">
        <v>3.0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>
        <v>44847.0</v>
      </c>
      <c r="B106" s="9">
        <v>8.0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>
        <v>44848.0</v>
      </c>
      <c r="B107" s="9">
        <v>5.0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>
        <v>44849.0</v>
      </c>
      <c r="B108" s="9">
        <v>0.0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>
        <v>44850.0</v>
      </c>
      <c r="B109" s="9">
        <v>0.0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>
        <v>44851.0</v>
      </c>
      <c r="B110" s="9">
        <v>5.0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>
        <v>44852.0</v>
      </c>
      <c r="B111" s="9">
        <v>2.0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>
        <v>44853.0</v>
      </c>
      <c r="B112" s="9">
        <v>0.0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>
        <v>44854.0</v>
      </c>
      <c r="B113" s="9">
        <v>2.0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>
        <v>44855.0</v>
      </c>
      <c r="B114" s="9">
        <v>0.0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>
        <v>44856.0</v>
      </c>
      <c r="B115" s="9">
        <v>0.0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>
        <v>44857.0</v>
      </c>
      <c r="B116" s="9">
        <v>0.0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>
        <v>44858.0</v>
      </c>
      <c r="B117" s="9">
        <v>3.0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>
        <v>44859.0</v>
      </c>
      <c r="B118" s="9">
        <v>4.0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>
        <v>44860.0</v>
      </c>
      <c r="B119" s="9">
        <v>1.0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>
        <v>44861.0</v>
      </c>
      <c r="B120" s="9">
        <v>6.0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>
        <v>44862.0</v>
      </c>
      <c r="B121" s="9">
        <v>3.0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>
        <v>44863.0</v>
      </c>
      <c r="B122" s="9">
        <v>1.0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>
        <v>44864.0</v>
      </c>
      <c r="B123" s="9">
        <v>1.0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>
        <v>44865.0</v>
      </c>
      <c r="B124" s="9">
        <v>4.0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>
        <v>44866.0</v>
      </c>
      <c r="B125" s="9">
        <v>3.0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>
        <v>44867.0</v>
      </c>
      <c r="B126" s="9">
        <v>7.0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>
        <v>44868.0</v>
      </c>
      <c r="B127" s="9">
        <v>3.0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>
        <v>44869.0</v>
      </c>
      <c r="B128" s="9">
        <v>1.0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>
        <v>44870.0</v>
      </c>
      <c r="B129" s="9">
        <v>0.0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>
        <v>44871.0</v>
      </c>
      <c r="B130" s="9">
        <v>0.0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>
        <v>44872.0</v>
      </c>
      <c r="B131" s="9">
        <v>0.0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>
        <v>44873.0</v>
      </c>
      <c r="B132" s="9">
        <v>0.0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>
        <v>44874.0</v>
      </c>
      <c r="B133" s="9">
        <v>2.0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>
        <v>44875.0</v>
      </c>
      <c r="B134" s="9">
        <v>1.0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>
        <v>44876.0</v>
      </c>
      <c r="B135" s="9">
        <v>0.0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>
        <v>44877.0</v>
      </c>
      <c r="B136" s="9">
        <v>0.0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>
        <v>44878.0</v>
      </c>
      <c r="B137" s="9">
        <v>0.0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>
        <v>44879.0</v>
      </c>
      <c r="B138" s="9">
        <v>6.0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>
        <v>44880.0</v>
      </c>
      <c r="B139" s="9">
        <v>4.0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>
        <v>44881.0</v>
      </c>
      <c r="B140" s="9">
        <v>4.0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>
        <v>44882.0</v>
      </c>
      <c r="B141" s="9">
        <v>5.0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>
        <v>44883.0</v>
      </c>
      <c r="B142" s="9">
        <v>3.0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>
        <v>44884.0</v>
      </c>
      <c r="B143" s="9">
        <v>0.0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>
        <v>44885.0</v>
      </c>
      <c r="B144" s="9">
        <v>0.0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>
        <v>44886.0</v>
      </c>
      <c r="B145" s="9">
        <v>7.0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>
        <v>44887.0</v>
      </c>
      <c r="B146" s="9">
        <v>10.0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>
        <v>44888.0</v>
      </c>
      <c r="B147" s="9">
        <v>2.0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>
        <v>44889.0</v>
      </c>
      <c r="B148" s="9">
        <v>5.0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>
        <v>44890.0</v>
      </c>
      <c r="B149" s="9">
        <v>4.0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>
        <v>44891.0</v>
      </c>
      <c r="B150" s="9">
        <v>1.0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>
        <v>44892.0</v>
      </c>
      <c r="B151" s="9">
        <v>0.0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>
        <v>44893.0</v>
      </c>
      <c r="B152" s="9">
        <v>4.0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>
        <v>44894.0</v>
      </c>
      <c r="B153" s="9">
        <v>3.0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>
        <v>44895.0</v>
      </c>
      <c r="B154" s="9">
        <v>2.0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>
        <v>44896.0</v>
      </c>
      <c r="B155" s="9">
        <v>2.0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>
        <v>44897.0</v>
      </c>
      <c r="B156" s="9">
        <v>2.0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>
        <v>44898.0</v>
      </c>
      <c r="B157" s="9">
        <v>0.0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>
        <v>44899.0</v>
      </c>
      <c r="B158" s="9">
        <v>0.0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>
        <v>44900.0</v>
      </c>
      <c r="B159" s="9">
        <v>2.0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>
        <v>44901.0</v>
      </c>
      <c r="B160" s="9">
        <v>2.0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>
        <v>44902.0</v>
      </c>
      <c r="B161" s="9">
        <v>3.0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>
        <v>44903.0</v>
      </c>
      <c r="B162" s="9">
        <v>0.0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>
        <v>44904.0</v>
      </c>
      <c r="B163" s="9">
        <v>0.0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>
        <v>44905.0</v>
      </c>
      <c r="B164" s="9">
        <v>0.0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>
        <v>44906.0</v>
      </c>
      <c r="B165" s="9">
        <v>0.0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>
        <v>44907.0</v>
      </c>
      <c r="B166" s="9">
        <v>5.0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>
        <v>44908.0</v>
      </c>
      <c r="B167" s="9">
        <v>2.0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>
        <v>44909.0</v>
      </c>
      <c r="B168" s="9">
        <v>4.0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>
        <v>44910.0</v>
      </c>
      <c r="B169" s="9">
        <v>3.0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>
        <v>44911.0</v>
      </c>
      <c r="B170" s="9">
        <v>2.0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>
        <v>44912.0</v>
      </c>
      <c r="B171" s="9">
        <v>0.0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>
        <v>44913.0</v>
      </c>
      <c r="B172" s="9">
        <v>0.0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>
        <v>44914.0</v>
      </c>
      <c r="B173" s="9">
        <v>8.0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>
        <v>44915.0</v>
      </c>
      <c r="B174" s="9">
        <v>2.0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>
        <v>44916.0</v>
      </c>
      <c r="B175" s="9">
        <v>4.0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>
        <v>44917.0</v>
      </c>
      <c r="B176" s="9">
        <v>1.0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>
        <v>44918.0</v>
      </c>
      <c r="B177" s="9">
        <v>2.0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>
        <v>44919.0</v>
      </c>
      <c r="B178" s="9">
        <v>0.0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>
        <v>44920.0</v>
      </c>
      <c r="B179" s="9">
        <v>0.0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>
        <v>44921.0</v>
      </c>
      <c r="B180" s="9">
        <v>3.0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>
        <v>44922.0</v>
      </c>
      <c r="B181" s="9">
        <v>2.0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>
        <v>44923.0</v>
      </c>
      <c r="B182" s="9">
        <v>1.0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>
        <v>44924.0</v>
      </c>
      <c r="B183" s="9">
        <v>0.0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>
        <v>44925.0</v>
      </c>
      <c r="B184" s="9">
        <v>0.0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>
        <v>44926.0</v>
      </c>
      <c r="B185" s="9">
        <v>0.0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>
        <v>44927.0</v>
      </c>
      <c r="B186" s="9">
        <v>0.0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>
        <v>44928.0</v>
      </c>
      <c r="B187" s="9">
        <v>3.0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>
        <v>44929.0</v>
      </c>
      <c r="B188" s="9">
        <v>3.0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>
        <v>44930.0</v>
      </c>
      <c r="B189" s="9">
        <v>3.0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>
        <v>44931.0</v>
      </c>
      <c r="B190" s="9">
        <v>2.0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>
        <v>44932.0</v>
      </c>
      <c r="B191" s="9">
        <v>0.0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>
        <v>44933.0</v>
      </c>
      <c r="B192" s="9">
        <v>0.0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>
        <v>44934.0</v>
      </c>
      <c r="B193" s="9">
        <v>0.0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>
        <v>44935.0</v>
      </c>
      <c r="B194" s="9">
        <v>0.0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>
        <v>44936.0</v>
      </c>
      <c r="B195" s="9">
        <v>1.0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>
        <v>44937.0</v>
      </c>
      <c r="B196" s="9">
        <v>2.0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>
        <v>44938.0</v>
      </c>
      <c r="B197" s="9">
        <v>1.0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>
        <v>44939.0</v>
      </c>
      <c r="B198" s="9">
        <v>0.0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>
        <v>44940.0</v>
      </c>
      <c r="B199" s="9">
        <v>0.0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>
        <v>44941.0</v>
      </c>
      <c r="B200" s="9">
        <v>1.0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>
        <v>44942.0</v>
      </c>
      <c r="B201" s="9">
        <v>0.0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>
        <v>44943.0</v>
      </c>
      <c r="B202" s="9">
        <v>2.0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>
        <v>44944.0</v>
      </c>
      <c r="B203" s="9">
        <v>0.0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>
        <v>44945.0</v>
      </c>
      <c r="B204" s="9">
        <v>0.0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>
        <v>44946.0</v>
      </c>
      <c r="B205" s="9">
        <v>0.0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>
        <v>44947.0</v>
      </c>
      <c r="B206" s="9">
        <v>0.0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>
        <v>44948.0</v>
      </c>
      <c r="B207" s="9">
        <v>0.0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>
        <v>44949.0</v>
      </c>
      <c r="B208" s="9">
        <v>0.0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>
        <v>44950.0</v>
      </c>
      <c r="B209" s="9">
        <v>0.0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>
        <v>44951.0</v>
      </c>
      <c r="B210" s="9">
        <v>4.0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>
        <v>44952.0</v>
      </c>
      <c r="B211" s="9">
        <v>4.0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>
        <v>44953.0</v>
      </c>
      <c r="B212" s="9">
        <v>2.0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>
        <v>44954.0</v>
      </c>
      <c r="B213" s="9">
        <v>0.0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>
        <v>44955.0</v>
      </c>
      <c r="B214" s="9">
        <v>0.0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>
        <v>44956.0</v>
      </c>
      <c r="B215" s="9">
        <v>6.0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>
        <v>44957.0</v>
      </c>
      <c r="B216" s="9">
        <v>8.0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>
        <v>44958.0</v>
      </c>
      <c r="B217" s="9">
        <v>1.0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>
        <v>44959.0</v>
      </c>
      <c r="B218" s="9">
        <v>6.0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>
        <v>44960.0</v>
      </c>
      <c r="B219" s="9">
        <v>7.0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>
        <v>44961.0</v>
      </c>
      <c r="B220" s="9">
        <v>0.0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>
        <v>44962.0</v>
      </c>
      <c r="B221" s="9">
        <v>0.0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>
        <v>44963.0</v>
      </c>
      <c r="B222" s="9">
        <v>5.0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>
        <v>44964.0</v>
      </c>
      <c r="B223" s="9">
        <v>4.0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>
        <v>44965.0</v>
      </c>
      <c r="B224" s="9">
        <v>1.0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>
        <v>44966.0</v>
      </c>
      <c r="B225" s="9">
        <v>4.0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>
        <v>44967.0</v>
      </c>
      <c r="B226" s="9">
        <v>5.0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>
        <v>44968.0</v>
      </c>
      <c r="B227" s="9">
        <v>0.0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>
        <v>44969.0</v>
      </c>
      <c r="B228" s="9">
        <v>0.0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>
        <v>44970.0</v>
      </c>
      <c r="B229" s="9">
        <v>2.0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>
        <v>44971.0</v>
      </c>
      <c r="B230" s="9">
        <v>1.0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>
        <v>44972.0</v>
      </c>
      <c r="B231" s="9">
        <v>1.0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>
        <v>44973.0</v>
      </c>
      <c r="B232" s="9">
        <v>2.0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>
        <v>44974.0</v>
      </c>
      <c r="B233" s="9">
        <v>2.0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>
        <v>44975.0</v>
      </c>
      <c r="B234" s="9">
        <v>0.0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>
        <v>44976.0</v>
      </c>
      <c r="B235" s="9">
        <v>0.0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>
        <v>44977.0</v>
      </c>
      <c r="B236" s="9">
        <v>4.0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>
        <v>44978.0</v>
      </c>
      <c r="B237" s="9">
        <v>3.0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>
        <v>44979.0</v>
      </c>
      <c r="B238" s="9">
        <v>1.0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>
        <v>44980.0</v>
      </c>
      <c r="B239" s="9">
        <v>2.0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>
        <v>44981.0</v>
      </c>
      <c r="B240" s="9">
        <v>6.0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>
        <v>44982.0</v>
      </c>
      <c r="B241" s="9">
        <v>0.0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>
        <v>44983.0</v>
      </c>
      <c r="B242" s="9">
        <v>0.0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>
        <v>44984.0</v>
      </c>
      <c r="B243" s="9">
        <v>5.0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>
        <v>44985.0</v>
      </c>
      <c r="B244" s="9">
        <v>5.0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>
        <v>44986.0</v>
      </c>
      <c r="B245" s="9">
        <v>4.0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>
        <v>44987.0</v>
      </c>
      <c r="B246" s="9">
        <v>4.0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>
        <v>44988.0</v>
      </c>
      <c r="B247" s="9">
        <v>2.0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>
        <v>44989.0</v>
      </c>
      <c r="B248" s="9">
        <v>0.0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>
        <v>44990.0</v>
      </c>
      <c r="B249" s="9">
        <v>0.0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>
        <v>44991.0</v>
      </c>
      <c r="B250" s="9">
        <v>2.0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>
        <v>44992.0</v>
      </c>
      <c r="B251" s="9">
        <v>7.0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>
        <v>44993.0</v>
      </c>
      <c r="B252" s="9">
        <v>0.0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>
        <v>44994.0</v>
      </c>
      <c r="B253" s="9">
        <v>4.0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>
        <v>44995.0</v>
      </c>
      <c r="B254" s="9">
        <v>2.0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>
        <v>44996.0</v>
      </c>
      <c r="B255" s="9">
        <v>0.0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>
        <v>44997.0</v>
      </c>
      <c r="B256" s="9">
        <v>0.0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>
        <v>44998.0</v>
      </c>
      <c r="B257" s="9">
        <v>9.0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>
        <v>44999.0</v>
      </c>
      <c r="B258" s="9">
        <v>2.0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>
        <v>45000.0</v>
      </c>
      <c r="B259" s="9">
        <v>6.0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>
        <v>45001.0</v>
      </c>
      <c r="B260" s="9">
        <v>4.0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>
        <v>45002.0</v>
      </c>
      <c r="B261" s="9">
        <v>18.0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>
        <v>45003.0</v>
      </c>
      <c r="B262" s="9">
        <v>0.0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>
        <v>45004.0</v>
      </c>
      <c r="B263" s="9">
        <v>1.0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>
        <v>45005.0</v>
      </c>
      <c r="B264" s="9">
        <v>8.0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>
        <v>45006.0</v>
      </c>
      <c r="B265" s="9">
        <v>7.0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>
        <v>45007.0</v>
      </c>
      <c r="B266" s="9">
        <v>7.0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>
        <v>45008.0</v>
      </c>
      <c r="B267" s="9">
        <v>4.0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>
        <v>45009.0</v>
      </c>
      <c r="B268" s="9">
        <v>4.0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>
        <v>45010.0</v>
      </c>
      <c r="B269" s="9">
        <v>0.0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>
        <v>45011.0</v>
      </c>
      <c r="B270" s="9">
        <v>0.0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>
        <v>45012.0</v>
      </c>
      <c r="B271" s="9">
        <v>1.0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>
        <v>45013.0</v>
      </c>
      <c r="B272" s="9">
        <v>4.0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>
        <v>45014.0</v>
      </c>
      <c r="B273" s="9">
        <v>2.0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>
        <v>45015.0</v>
      </c>
      <c r="B274" s="9">
        <v>2.0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>
        <v>45016.0</v>
      </c>
      <c r="B275" s="9">
        <v>4.0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>
        <v>45017.0</v>
      </c>
      <c r="B276" s="9">
        <v>0.0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>
        <v>45018.0</v>
      </c>
      <c r="B277" s="9">
        <v>0.0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>
        <v>45019.0</v>
      </c>
      <c r="B278" s="9">
        <v>5.0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>
        <v>45020.0</v>
      </c>
      <c r="B279" s="9">
        <v>3.0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>
        <v>45021.0</v>
      </c>
      <c r="B280" s="9">
        <v>2.0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>
        <v>45022.0</v>
      </c>
      <c r="B281" s="9">
        <v>1.0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>
        <v>45023.0</v>
      </c>
      <c r="B282" s="9">
        <v>2.0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>
        <v>45024.0</v>
      </c>
      <c r="B283" s="9">
        <v>1.0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>
        <v>45025.0</v>
      </c>
      <c r="B284" s="9">
        <v>0.0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>
        <v>45026.0</v>
      </c>
      <c r="B285" s="9">
        <v>5.0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>
        <v>45027.0</v>
      </c>
      <c r="B286" s="9">
        <v>3.0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>
        <v>45028.0</v>
      </c>
      <c r="B287" s="9">
        <v>4.0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>
        <v>45029.0</v>
      </c>
      <c r="B288" s="9">
        <v>1.0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>
        <v>45030.0</v>
      </c>
      <c r="B289" s="9">
        <v>0.0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>
        <v>45031.0</v>
      </c>
      <c r="B290" s="9">
        <v>0.0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>
        <v>45032.0</v>
      </c>
      <c r="B291" s="9">
        <v>0.0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>
        <v>45033.0</v>
      </c>
      <c r="B292" s="9">
        <v>2.0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>
        <v>45034.0</v>
      </c>
      <c r="B293" s="9">
        <v>2.0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>
        <v>45035.0</v>
      </c>
      <c r="B294" s="9">
        <v>4.0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>
        <v>45036.0</v>
      </c>
      <c r="B295" s="9">
        <v>3.0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>
        <v>45037.0</v>
      </c>
      <c r="B296" s="9">
        <v>0.0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>
        <v>45038.0</v>
      </c>
      <c r="B297" s="9">
        <v>2.0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>
        <v>45039.0</v>
      </c>
      <c r="B298" s="9">
        <v>0.0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>
        <v>45040.0</v>
      </c>
      <c r="B299" s="9">
        <v>1.0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>
        <v>45041.0</v>
      </c>
      <c r="B300" s="9">
        <v>2.0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>
        <v>45042.0</v>
      </c>
      <c r="B301" s="9">
        <v>6.0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>
        <v>45043.0</v>
      </c>
      <c r="B302" s="9">
        <v>4.0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>
        <v>45044.0</v>
      </c>
      <c r="B303" s="9">
        <v>5.0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>
        <v>45045.0</v>
      </c>
      <c r="B304" s="9">
        <v>0.0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>
        <v>45046.0</v>
      </c>
      <c r="B305" s="9">
        <v>0.0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>
        <v>45047.0</v>
      </c>
      <c r="B306" s="9">
        <v>0.0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5">
        <v>45048.0</v>
      </c>
      <c r="B307" s="9">
        <v>2.0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>
        <v>45049.0</v>
      </c>
      <c r="B308" s="9">
        <v>2.0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5">
        <v>45050.0</v>
      </c>
      <c r="B309" s="9">
        <v>0.0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>
        <v>45051.0</v>
      </c>
      <c r="B310" s="9">
        <v>1.0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5">
        <v>45052.0</v>
      </c>
      <c r="B311" s="9">
        <v>0.0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>
        <v>45053.0</v>
      </c>
      <c r="B312" s="9">
        <v>0.0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5">
        <v>45054.0</v>
      </c>
      <c r="B313" s="9">
        <v>0.0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>
        <v>45055.0</v>
      </c>
      <c r="B314" s="9">
        <v>3.0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5">
        <v>45056.0</v>
      </c>
      <c r="B315" s="9">
        <v>2.0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>
        <v>45057.0</v>
      </c>
      <c r="B316" s="9">
        <v>4.0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5">
        <v>45058.0</v>
      </c>
      <c r="B317" s="9">
        <v>5.0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>
        <v>45059.0</v>
      </c>
      <c r="B318" s="9">
        <v>0.0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5">
        <v>45060.0</v>
      </c>
      <c r="B319" s="9">
        <v>1.0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>
        <v>45061.0</v>
      </c>
      <c r="B320" s="9">
        <v>6.0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5">
        <v>45062.0</v>
      </c>
      <c r="B321" s="9">
        <v>11.0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>
        <v>45063.0</v>
      </c>
      <c r="B322" s="9">
        <v>6.0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5">
        <v>45064.0</v>
      </c>
      <c r="B323" s="9">
        <v>2.0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>
        <v>45065.0</v>
      </c>
      <c r="B324" s="9">
        <v>4.0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5">
        <v>45066.0</v>
      </c>
      <c r="B325" s="9">
        <v>0.0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>
        <v>45067.0</v>
      </c>
      <c r="B326" s="9">
        <v>0.0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5">
        <v>45068.0</v>
      </c>
      <c r="B327" s="9">
        <v>1.0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>
        <v>45069.0</v>
      </c>
      <c r="B328" s="9">
        <v>3.0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5">
        <v>45070.0</v>
      </c>
      <c r="B329" s="9">
        <v>12.0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</cols>
  <sheetData>
    <row r="1">
      <c r="A1" s="10" t="s">
        <v>4</v>
      </c>
      <c r="B1" s="10" t="s">
        <v>5</v>
      </c>
    </row>
    <row r="2">
      <c r="A2" s="11">
        <v>44890.0</v>
      </c>
      <c r="B2" s="10" t="s">
        <v>6</v>
      </c>
    </row>
    <row r="3">
      <c r="A3" s="11">
        <v>44891.0</v>
      </c>
      <c r="B3" s="10" t="s">
        <v>7</v>
      </c>
    </row>
    <row r="4">
      <c r="A4" s="11">
        <v>44892.0</v>
      </c>
    </row>
    <row r="5">
      <c r="A5" s="11">
        <v>44893.0</v>
      </c>
      <c r="B5" s="10" t="s">
        <v>8</v>
      </c>
    </row>
    <row r="6">
      <c r="A6" s="11">
        <v>44894.0</v>
      </c>
      <c r="B6" s="10" t="s">
        <v>9</v>
      </c>
    </row>
    <row r="7">
      <c r="A7" s="11">
        <v>44895.0</v>
      </c>
      <c r="B7" s="10" t="s">
        <v>10</v>
      </c>
    </row>
    <row r="8">
      <c r="A8" s="11">
        <v>44896.0</v>
      </c>
      <c r="B8" s="10" t="s">
        <v>11</v>
      </c>
    </row>
    <row r="9">
      <c r="A9" s="11">
        <v>44897.0</v>
      </c>
      <c r="B9" s="10" t="s">
        <v>12</v>
      </c>
    </row>
    <row r="10">
      <c r="A10" s="11">
        <v>44898.0</v>
      </c>
    </row>
    <row r="11">
      <c r="A11" s="11">
        <v>44899.0</v>
      </c>
    </row>
    <row r="12">
      <c r="A12" s="11">
        <v>44900.0</v>
      </c>
      <c r="B12" s="10" t="s">
        <v>13</v>
      </c>
    </row>
    <row r="13">
      <c r="A13" s="11">
        <v>44901.0</v>
      </c>
      <c r="B13" s="10" t="s">
        <v>14</v>
      </c>
    </row>
    <row r="14">
      <c r="A14" s="11">
        <v>44902.0</v>
      </c>
      <c r="B14" s="10" t="s">
        <v>15</v>
      </c>
    </row>
    <row r="15">
      <c r="A15" s="11">
        <v>44903.0</v>
      </c>
    </row>
    <row r="16">
      <c r="A16" s="11">
        <v>44904.0</v>
      </c>
    </row>
    <row r="17">
      <c r="A17" s="11">
        <v>44905.0</v>
      </c>
    </row>
    <row r="18">
      <c r="A18" s="11">
        <v>44906.0</v>
      </c>
    </row>
    <row r="19">
      <c r="A19" s="11">
        <v>44907.0</v>
      </c>
      <c r="B19" s="10" t="s">
        <v>16</v>
      </c>
    </row>
    <row r="20">
      <c r="A20" s="11">
        <v>44908.0</v>
      </c>
      <c r="B20" s="10" t="s">
        <v>17</v>
      </c>
    </row>
    <row r="21">
      <c r="A21" s="11">
        <v>44909.0</v>
      </c>
      <c r="B21" s="10" t="s">
        <v>18</v>
      </c>
    </row>
    <row r="22">
      <c r="A22" s="11">
        <v>44910.0</v>
      </c>
      <c r="B22" s="10" t="s">
        <v>19</v>
      </c>
    </row>
    <row r="23">
      <c r="A23" s="11">
        <v>44911.0</v>
      </c>
      <c r="B23" s="10" t="s">
        <v>20</v>
      </c>
    </row>
    <row r="24">
      <c r="A24" s="11">
        <v>44912.0</v>
      </c>
    </row>
    <row r="25">
      <c r="A25" s="11">
        <v>44913.0</v>
      </c>
    </row>
    <row r="26">
      <c r="A26" s="11">
        <v>44914.0</v>
      </c>
      <c r="B26" s="10" t="s">
        <v>21</v>
      </c>
    </row>
    <row r="27">
      <c r="A27" s="11">
        <v>44915.0</v>
      </c>
      <c r="B27" s="10" t="s">
        <v>22</v>
      </c>
    </row>
    <row r="28">
      <c r="A28" s="11">
        <v>44916.0</v>
      </c>
      <c r="B28" s="10" t="s">
        <v>23</v>
      </c>
    </row>
    <row r="29">
      <c r="A29" s="11">
        <v>44917.0</v>
      </c>
      <c r="B29" s="10" t="s">
        <v>24</v>
      </c>
    </row>
    <row r="30">
      <c r="A30" s="11">
        <v>44918.0</v>
      </c>
      <c r="B30" s="10" t="s">
        <v>25</v>
      </c>
    </row>
    <row r="31">
      <c r="A31" s="11">
        <v>44919.0</v>
      </c>
    </row>
    <row r="32">
      <c r="A32" s="11">
        <v>44920.0</v>
      </c>
    </row>
    <row r="33">
      <c r="A33" s="11">
        <v>44921.0</v>
      </c>
      <c r="B33" s="10" t="s">
        <v>26</v>
      </c>
    </row>
    <row r="34">
      <c r="A34" s="11">
        <v>44922.0</v>
      </c>
      <c r="B34" s="10" t="s">
        <v>27</v>
      </c>
    </row>
    <row r="35">
      <c r="A35" s="11">
        <v>44923.0</v>
      </c>
      <c r="B35" s="10" t="s">
        <v>28</v>
      </c>
    </row>
    <row r="36">
      <c r="A36" s="11">
        <v>44924.0</v>
      </c>
    </row>
    <row r="37">
      <c r="A37" s="11">
        <v>44925.0</v>
      </c>
    </row>
    <row r="38">
      <c r="A38" s="11">
        <v>44926.0</v>
      </c>
    </row>
    <row r="39">
      <c r="A39" s="11">
        <v>44927.0</v>
      </c>
    </row>
    <row r="40">
      <c r="A40" s="11">
        <v>44928.0</v>
      </c>
      <c r="B40" s="10" t="s">
        <v>29</v>
      </c>
    </row>
    <row r="41">
      <c r="A41" s="11">
        <v>44929.0</v>
      </c>
      <c r="B41" s="10" t="s">
        <v>30</v>
      </c>
    </row>
    <row r="42">
      <c r="A42" s="11">
        <v>44930.0</v>
      </c>
      <c r="B42" s="10" t="s">
        <v>31</v>
      </c>
    </row>
    <row r="43">
      <c r="A43" s="11">
        <v>44931.0</v>
      </c>
      <c r="B43" s="10" t="s">
        <v>32</v>
      </c>
    </row>
    <row r="44">
      <c r="A44" s="11">
        <v>44932.0</v>
      </c>
    </row>
    <row r="45">
      <c r="A45" s="11">
        <v>44933.0</v>
      </c>
    </row>
    <row r="46">
      <c r="A46" s="11">
        <v>44934.0</v>
      </c>
    </row>
    <row r="47">
      <c r="A47" s="11">
        <v>44935.0</v>
      </c>
    </row>
    <row r="48">
      <c r="A48" s="11">
        <v>44936.0</v>
      </c>
      <c r="B48" s="10" t="s">
        <v>33</v>
      </c>
    </row>
    <row r="49">
      <c r="A49" s="11">
        <v>44937.0</v>
      </c>
      <c r="B49" s="10" t="s">
        <v>34</v>
      </c>
    </row>
    <row r="50">
      <c r="A50" s="11">
        <v>44938.0</v>
      </c>
      <c r="B50" s="10" t="s">
        <v>35</v>
      </c>
    </row>
    <row r="51">
      <c r="A51" s="11">
        <v>44939.0</v>
      </c>
    </row>
    <row r="52">
      <c r="A52" s="11">
        <v>44940.0</v>
      </c>
    </row>
    <row r="53">
      <c r="A53" s="11">
        <v>44941.0</v>
      </c>
      <c r="B53" s="10" t="s">
        <v>35</v>
      </c>
    </row>
    <row r="54">
      <c r="A54" s="11">
        <v>44942.0</v>
      </c>
    </row>
    <row r="55">
      <c r="A55" s="11">
        <v>44943.0</v>
      </c>
      <c r="B55" s="10" t="s">
        <v>36</v>
      </c>
    </row>
    <row r="56">
      <c r="A56" s="11">
        <v>44944.0</v>
      </c>
    </row>
    <row r="57">
      <c r="A57" s="11">
        <v>44945.0</v>
      </c>
    </row>
    <row r="58">
      <c r="A58" s="11">
        <v>44946.0</v>
      </c>
    </row>
    <row r="59">
      <c r="A59" s="11">
        <v>44947.0</v>
      </c>
    </row>
    <row r="60">
      <c r="A60" s="11">
        <v>44948.0</v>
      </c>
    </row>
    <row r="61">
      <c r="A61" s="11">
        <v>44949.0</v>
      </c>
    </row>
    <row r="62">
      <c r="A62" s="11">
        <v>44950.0</v>
      </c>
    </row>
    <row r="63">
      <c r="A63" s="11">
        <v>44951.0</v>
      </c>
      <c r="B63" s="10" t="s">
        <v>37</v>
      </c>
    </row>
    <row r="64">
      <c r="A64" s="11">
        <v>44952.0</v>
      </c>
      <c r="B64" s="10" t="s">
        <v>38</v>
      </c>
    </row>
    <row r="65">
      <c r="A65" s="11">
        <v>44953.0</v>
      </c>
      <c r="B65" s="10" t="s">
        <v>39</v>
      </c>
    </row>
    <row r="66">
      <c r="A66" s="11">
        <v>44954.0</v>
      </c>
    </row>
    <row r="67">
      <c r="A67" s="11">
        <v>44955.0</v>
      </c>
    </row>
    <row r="68">
      <c r="A68" s="11">
        <v>44956.0</v>
      </c>
      <c r="B68" s="10" t="s">
        <v>40</v>
      </c>
    </row>
    <row r="69">
      <c r="A69" s="11">
        <v>44957.0</v>
      </c>
      <c r="B69" s="10" t="s">
        <v>41</v>
      </c>
    </row>
    <row r="70">
      <c r="A70" s="11">
        <v>44958.0</v>
      </c>
      <c r="B70" s="10" t="s">
        <v>42</v>
      </c>
    </row>
    <row r="71">
      <c r="A71" s="11">
        <v>44959.0</v>
      </c>
      <c r="B71" s="10" t="s">
        <v>43</v>
      </c>
    </row>
    <row r="72">
      <c r="A72" s="11">
        <v>44960.0</v>
      </c>
      <c r="B72" s="10" t="s">
        <v>44</v>
      </c>
    </row>
    <row r="73">
      <c r="A73" s="11">
        <v>44961.0</v>
      </c>
    </row>
    <row r="74">
      <c r="A74" s="11">
        <v>44962.0</v>
      </c>
    </row>
    <row r="75">
      <c r="A75" s="11">
        <v>44963.0</v>
      </c>
      <c r="B75" s="10" t="s">
        <v>45</v>
      </c>
    </row>
    <row r="76">
      <c r="A76" s="11">
        <v>44964.0</v>
      </c>
      <c r="B76" s="10" t="s">
        <v>46</v>
      </c>
    </row>
    <row r="77">
      <c r="A77" s="11">
        <v>44965.0</v>
      </c>
      <c r="B77" s="10" t="s">
        <v>28</v>
      </c>
    </row>
    <row r="78">
      <c r="A78" s="11">
        <v>44966.0</v>
      </c>
      <c r="B78" s="10" t="s">
        <v>47</v>
      </c>
    </row>
    <row r="79">
      <c r="A79" s="11">
        <v>44967.0</v>
      </c>
      <c r="B79" s="10" t="s">
        <v>48</v>
      </c>
    </row>
    <row r="80">
      <c r="A80" s="11">
        <v>44968.0</v>
      </c>
    </row>
    <row r="81">
      <c r="A81" s="11">
        <v>44969.0</v>
      </c>
    </row>
    <row r="82">
      <c r="A82" s="11">
        <v>44970.0</v>
      </c>
      <c r="B82" s="10" t="s">
        <v>49</v>
      </c>
    </row>
    <row r="83">
      <c r="A83" s="11">
        <v>44971.0</v>
      </c>
      <c r="B83" s="10" t="s">
        <v>50</v>
      </c>
    </row>
    <row r="84">
      <c r="A84" s="11">
        <v>44972.0</v>
      </c>
      <c r="B84" s="10" t="s">
        <v>50</v>
      </c>
    </row>
    <row r="85">
      <c r="A85" s="11">
        <v>44973.0</v>
      </c>
      <c r="B85" s="10" t="s">
        <v>51</v>
      </c>
    </row>
    <row r="86">
      <c r="A86" s="11">
        <v>44974.0</v>
      </c>
      <c r="B86" s="10" t="s">
        <v>52</v>
      </c>
    </row>
    <row r="87">
      <c r="A87" s="11">
        <v>44975.0</v>
      </c>
    </row>
    <row r="88">
      <c r="A88" s="11">
        <v>44976.0</v>
      </c>
    </row>
    <row r="89">
      <c r="A89" s="11">
        <v>44977.0</v>
      </c>
      <c r="B89" s="10" t="s">
        <v>53</v>
      </c>
    </row>
    <row r="90">
      <c r="A90" s="11">
        <v>44978.0</v>
      </c>
      <c r="B90" s="10" t="s">
        <v>54</v>
      </c>
    </row>
    <row r="91">
      <c r="A91" s="11">
        <v>44979.0</v>
      </c>
      <c r="B91" s="10" t="s">
        <v>55</v>
      </c>
    </row>
    <row r="92">
      <c r="A92" s="11">
        <v>44980.0</v>
      </c>
      <c r="B92" s="10" t="s">
        <v>56</v>
      </c>
    </row>
    <row r="93">
      <c r="A93" s="11">
        <v>44981.0</v>
      </c>
      <c r="B93" s="10" t="s">
        <v>57</v>
      </c>
    </row>
    <row r="94">
      <c r="A94" s="11">
        <v>44982.0</v>
      </c>
    </row>
    <row r="95">
      <c r="A95" s="11">
        <v>44983.0</v>
      </c>
    </row>
    <row r="96">
      <c r="A96" s="11">
        <v>44984.0</v>
      </c>
      <c r="B96" s="10" t="s">
        <v>58</v>
      </c>
    </row>
    <row r="97">
      <c r="A97" s="11">
        <v>44985.0</v>
      </c>
      <c r="B97" s="10" t="s">
        <v>59</v>
      </c>
    </row>
    <row r="98">
      <c r="A98" s="11">
        <v>44986.0</v>
      </c>
      <c r="B98" s="10" t="s">
        <v>60</v>
      </c>
    </row>
    <row r="99">
      <c r="A99" s="11">
        <v>44987.0</v>
      </c>
      <c r="B99" s="10" t="s">
        <v>61</v>
      </c>
    </row>
    <row r="100">
      <c r="A100" s="11">
        <v>44988.0</v>
      </c>
      <c r="B100" s="10" t="s">
        <v>62</v>
      </c>
    </row>
    <row r="101">
      <c r="A101" s="11">
        <v>44989.0</v>
      </c>
    </row>
    <row r="102">
      <c r="A102" s="11">
        <v>44990.0</v>
      </c>
    </row>
    <row r="103">
      <c r="A103" s="11">
        <v>44991.0</v>
      </c>
      <c r="B103" s="10" t="s">
        <v>63</v>
      </c>
    </row>
    <row r="104">
      <c r="A104" s="11">
        <v>44992.0</v>
      </c>
      <c r="B104" s="10" t="s">
        <v>64</v>
      </c>
    </row>
    <row r="105">
      <c r="A105" s="11">
        <v>44993.0</v>
      </c>
    </row>
    <row r="106">
      <c r="A106" s="11">
        <v>44994.0</v>
      </c>
      <c r="B106" s="10" t="s">
        <v>65</v>
      </c>
    </row>
    <row r="107">
      <c r="A107" s="11">
        <v>44995.0</v>
      </c>
      <c r="B107" s="10" t="s">
        <v>66</v>
      </c>
    </row>
    <row r="108">
      <c r="A108" s="11">
        <v>44996.0</v>
      </c>
    </row>
    <row r="109">
      <c r="A109" s="11">
        <v>44997.0</v>
      </c>
    </row>
    <row r="110">
      <c r="A110" s="11">
        <v>44998.0</v>
      </c>
      <c r="B110" s="10" t="s">
        <v>67</v>
      </c>
    </row>
    <row r="111">
      <c r="A111" s="11">
        <v>44999.0</v>
      </c>
      <c r="B111" s="10" t="s">
        <v>68</v>
      </c>
    </row>
    <row r="112">
      <c r="A112" s="11">
        <v>45000.0</v>
      </c>
      <c r="B112" s="10" t="s">
        <v>69</v>
      </c>
    </row>
    <row r="113">
      <c r="A113" s="11">
        <v>45001.0</v>
      </c>
      <c r="B113" s="10" t="s">
        <v>70</v>
      </c>
    </row>
    <row r="114">
      <c r="A114" s="11">
        <v>45002.0</v>
      </c>
      <c r="B114" s="10" t="s">
        <v>71</v>
      </c>
    </row>
    <row r="115">
      <c r="A115" s="11">
        <v>45003.0</v>
      </c>
    </row>
    <row r="116">
      <c r="A116" s="11">
        <v>45004.0</v>
      </c>
      <c r="B116" s="10" t="s">
        <v>35</v>
      </c>
    </row>
    <row r="117">
      <c r="A117" s="11">
        <v>45005.0</v>
      </c>
      <c r="B117" s="10" t="s">
        <v>72</v>
      </c>
    </row>
    <row r="118">
      <c r="A118" s="11">
        <v>45006.0</v>
      </c>
      <c r="B118" s="10" t="s">
        <v>73</v>
      </c>
    </row>
    <row r="119">
      <c r="A119" s="11">
        <v>45007.0</v>
      </c>
      <c r="B119" s="10" t="s">
        <v>74</v>
      </c>
    </row>
    <row r="120">
      <c r="A120" s="11">
        <v>45008.0</v>
      </c>
      <c r="B120" s="10" t="s">
        <v>75</v>
      </c>
    </row>
    <row r="121">
      <c r="A121" s="11">
        <v>45009.0</v>
      </c>
      <c r="B121" s="10" t="s">
        <v>76</v>
      </c>
    </row>
    <row r="122">
      <c r="A122" s="11">
        <v>45010.0</v>
      </c>
    </row>
    <row r="123">
      <c r="A123" s="11">
        <v>45011.0</v>
      </c>
    </row>
    <row r="124">
      <c r="A124" s="11">
        <v>45012.0</v>
      </c>
      <c r="B124" s="10" t="s">
        <v>50</v>
      </c>
    </row>
    <row r="125">
      <c r="A125" s="11">
        <v>45013.0</v>
      </c>
      <c r="B125" s="10" t="s">
        <v>77</v>
      </c>
    </row>
    <row r="126">
      <c r="A126" s="11">
        <v>45014.0</v>
      </c>
      <c r="B126" s="10" t="s">
        <v>78</v>
      </c>
    </row>
    <row r="127">
      <c r="A127" s="11">
        <v>45015.0</v>
      </c>
      <c r="B127" s="10" t="s">
        <v>79</v>
      </c>
    </row>
    <row r="128">
      <c r="A128" s="11">
        <v>45016.0</v>
      </c>
      <c r="B128" s="10" t="s">
        <v>80</v>
      </c>
    </row>
    <row r="129">
      <c r="A129" s="11">
        <v>45017.0</v>
      </c>
    </row>
    <row r="130">
      <c r="A130" s="11">
        <v>45018.0</v>
      </c>
    </row>
    <row r="131">
      <c r="A131" s="11">
        <v>45019.0</v>
      </c>
      <c r="B131" s="10" t="s">
        <v>81</v>
      </c>
    </row>
    <row r="132">
      <c r="A132" s="11">
        <v>45020.0</v>
      </c>
      <c r="B132" s="10" t="s">
        <v>82</v>
      </c>
    </row>
    <row r="133">
      <c r="A133" s="11">
        <v>45021.0</v>
      </c>
      <c r="B133" s="10" t="s">
        <v>17</v>
      </c>
    </row>
    <row r="134">
      <c r="A134" s="11">
        <v>45022.0</v>
      </c>
      <c r="B134" s="10" t="s">
        <v>50</v>
      </c>
    </row>
    <row r="135">
      <c r="A135" s="11">
        <v>45023.0</v>
      </c>
      <c r="B135" s="10" t="s">
        <v>17</v>
      </c>
    </row>
    <row r="136">
      <c r="A136" s="11">
        <v>45024.0</v>
      </c>
      <c r="B136" s="10" t="s">
        <v>33</v>
      </c>
    </row>
    <row r="137">
      <c r="A137" s="11">
        <v>45025.0</v>
      </c>
    </row>
    <row r="138">
      <c r="A138" s="11">
        <v>45026.0</v>
      </c>
      <c r="B138" s="10" t="s">
        <v>83</v>
      </c>
    </row>
    <row r="139">
      <c r="A139" s="11">
        <v>45027.0</v>
      </c>
      <c r="B139" s="10" t="s">
        <v>84</v>
      </c>
    </row>
    <row r="140">
      <c r="A140" s="11">
        <v>45028.0</v>
      </c>
      <c r="B140" s="10" t="s">
        <v>85</v>
      </c>
    </row>
    <row r="141">
      <c r="A141" s="11">
        <v>45029.0</v>
      </c>
      <c r="B141" s="10" t="s">
        <v>86</v>
      </c>
    </row>
    <row r="142">
      <c r="A142" s="11">
        <v>45030.0</v>
      </c>
    </row>
    <row r="143">
      <c r="A143" s="11">
        <v>45031.0</v>
      </c>
    </row>
    <row r="144">
      <c r="A144" s="11">
        <v>45032.0</v>
      </c>
    </row>
    <row r="145">
      <c r="A145" s="11">
        <v>45033.0</v>
      </c>
      <c r="B145" s="10" t="s">
        <v>87</v>
      </c>
    </row>
    <row r="146">
      <c r="A146" s="11">
        <v>45034.0</v>
      </c>
      <c r="B146" s="10" t="s">
        <v>68</v>
      </c>
    </row>
    <row r="147">
      <c r="A147" s="11">
        <v>45035.0</v>
      </c>
      <c r="B147" s="10" t="s">
        <v>88</v>
      </c>
    </row>
    <row r="148">
      <c r="A148" s="11">
        <v>45036.0</v>
      </c>
      <c r="B148" s="10" t="s">
        <v>89</v>
      </c>
    </row>
    <row r="149">
      <c r="A149" s="11">
        <v>45037.0</v>
      </c>
    </row>
    <row r="150">
      <c r="A150" s="11">
        <v>45038.0</v>
      </c>
      <c r="B150" s="10" t="s">
        <v>90</v>
      </c>
    </row>
    <row r="151">
      <c r="A151" s="11">
        <v>45039.0</v>
      </c>
    </row>
    <row r="152">
      <c r="A152" s="11">
        <v>45040.0</v>
      </c>
      <c r="B152" s="10" t="s">
        <v>91</v>
      </c>
    </row>
    <row r="153">
      <c r="A153" s="11">
        <v>45041.0</v>
      </c>
      <c r="B153" s="10" t="s">
        <v>92</v>
      </c>
    </row>
    <row r="154">
      <c r="A154" s="11">
        <v>45042.0</v>
      </c>
      <c r="B154" s="10" t="s">
        <v>93</v>
      </c>
    </row>
    <row r="155">
      <c r="A155" s="11">
        <v>45043.0</v>
      </c>
      <c r="B155" s="10" t="s">
        <v>94</v>
      </c>
    </row>
    <row r="156">
      <c r="A156" s="11">
        <v>45044.0</v>
      </c>
      <c r="B156" s="10" t="s">
        <v>95</v>
      </c>
    </row>
    <row r="157">
      <c r="A157" s="11">
        <v>45045.0</v>
      </c>
    </row>
    <row r="158">
      <c r="A158" s="11">
        <v>45046.0</v>
      </c>
    </row>
    <row r="159">
      <c r="A159" s="11">
        <v>45047.0</v>
      </c>
    </row>
    <row r="160">
      <c r="A160" s="11">
        <v>45048.0</v>
      </c>
      <c r="B160" s="10" t="s">
        <v>96</v>
      </c>
    </row>
    <row r="161">
      <c r="A161" s="11">
        <v>45049.0</v>
      </c>
      <c r="B161" s="10" t="s">
        <v>97</v>
      </c>
    </row>
    <row r="162">
      <c r="A162" s="11">
        <v>45050.0</v>
      </c>
    </row>
    <row r="163">
      <c r="A163" s="11">
        <v>45051.0</v>
      </c>
      <c r="B163" s="10" t="s">
        <v>86</v>
      </c>
    </row>
    <row r="164">
      <c r="A164" s="11">
        <v>45052.0</v>
      </c>
    </row>
    <row r="165">
      <c r="A165" s="11">
        <v>45053.0</v>
      </c>
    </row>
    <row r="166">
      <c r="A166" s="11">
        <v>45054.0</v>
      </c>
    </row>
    <row r="167">
      <c r="A167" s="11">
        <v>45055.0</v>
      </c>
      <c r="B167" s="10" t="s">
        <v>98</v>
      </c>
    </row>
    <row r="168">
      <c r="A168" s="11">
        <v>45056.0</v>
      </c>
      <c r="B168" s="10" t="s">
        <v>68</v>
      </c>
    </row>
    <row r="169">
      <c r="A169" s="11">
        <v>45057.0</v>
      </c>
      <c r="B169" s="10" t="s">
        <v>99</v>
      </c>
    </row>
    <row r="170">
      <c r="A170" s="11">
        <v>45058.0</v>
      </c>
      <c r="B170" s="10" t="s">
        <v>100</v>
      </c>
    </row>
    <row r="171">
      <c r="A171" s="11">
        <v>45059.0</v>
      </c>
    </row>
    <row r="172">
      <c r="A172" s="11">
        <v>45060.0</v>
      </c>
      <c r="B172" s="10" t="s">
        <v>101</v>
      </c>
    </row>
    <row r="173">
      <c r="A173" s="11">
        <v>45061.0</v>
      </c>
      <c r="B173" s="10" t="s">
        <v>102</v>
      </c>
    </row>
    <row r="174">
      <c r="A174" s="11">
        <v>45062.0</v>
      </c>
      <c r="B174" s="10" t="s">
        <v>103</v>
      </c>
    </row>
    <row r="175">
      <c r="A175" s="11">
        <v>45063.0</v>
      </c>
      <c r="B175" s="10" t="s">
        <v>104</v>
      </c>
    </row>
    <row r="176">
      <c r="A176" s="11">
        <v>45064.0</v>
      </c>
      <c r="B176" s="10" t="s">
        <v>105</v>
      </c>
    </row>
    <row r="177">
      <c r="A177" s="11">
        <v>45065.0</v>
      </c>
      <c r="B177" s="10" t="s">
        <v>106</v>
      </c>
    </row>
    <row r="178">
      <c r="A178" s="11">
        <v>45066.0</v>
      </c>
    </row>
    <row r="179">
      <c r="A179" s="11">
        <v>45067.0</v>
      </c>
    </row>
    <row r="180">
      <c r="A180" s="11">
        <v>45068.0</v>
      </c>
      <c r="B180" s="10" t="s">
        <v>33</v>
      </c>
    </row>
    <row r="181">
      <c r="A181" s="11">
        <v>45069.0</v>
      </c>
      <c r="B181" s="10" t="s">
        <v>107</v>
      </c>
    </row>
    <row r="182">
      <c r="A182" s="11">
        <v>45070.0</v>
      </c>
      <c r="B182" s="10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</cols>
  <sheetData>
    <row r="1">
      <c r="A1" s="12" t="s">
        <v>4</v>
      </c>
      <c r="B1" s="12" t="s">
        <v>109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44890.0</v>
      </c>
      <c r="B2" s="8" t="s">
        <v>33</v>
      </c>
      <c r="C2" s="15"/>
      <c r="D2" s="15"/>
      <c r="E2" s="15" t="str">
        <f>IFERROR(__xludf.DUMMYFUNCTION("IF(B2:B1501&lt;&gt;"""", UNIQUE(B2:B1501))"),"chandararot-kang@mptc.gov.kh")</f>
        <v>chandararot-kang@mptc.gov.kh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>
        <v>44890.0</v>
      </c>
      <c r="B3" s="8" t="s">
        <v>35</v>
      </c>
      <c r="C3" s="15"/>
      <c r="D3" s="15"/>
      <c r="E3" s="15" t="str">
        <f>IFERROR(__xludf.DUMMYFUNCTION("""COMPUTED_VALUE"""),"dev@mptc.gov.kh")</f>
        <v>dev@mptc.gov.kh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4">
        <v>44890.0</v>
      </c>
      <c r="B4" s="8" t="s">
        <v>110</v>
      </c>
      <c r="C4" s="15"/>
      <c r="D4" s="15"/>
      <c r="E4" s="15" t="str">
        <f>IFERROR(__xludf.DUMMYFUNCTION("""COMPUTED_VALUE"""),"phalkun-tep@mptc.gov.kh")</f>
        <v>phalkun-tep@mptc.gov.kh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4">
        <v>44890.0</v>
      </c>
      <c r="B5" s="8" t="s">
        <v>50</v>
      </c>
      <c r="C5" s="15"/>
      <c r="D5" s="15"/>
      <c r="E5" s="15" t="str">
        <f>IFERROR(__xludf.DUMMYFUNCTION("""COMPUTED_VALUE"""),"vannak-uk@mptc.gov.kh")</f>
        <v>vannak-uk@mptc.gov.kh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4">
        <v>44891.0</v>
      </c>
      <c r="B6" s="8" t="s">
        <v>7</v>
      </c>
      <c r="C6" s="15"/>
      <c r="D6" s="15"/>
      <c r="E6" s="15" t="str">
        <f>IFERROR(__xludf.DUMMYFUNCTION("""COMPUTED_VALUE"""),"chansovong-sieng@mptc.gov.kh")</f>
        <v>chansovong-sieng@mptc.gov.kh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4">
        <v>44892.0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4">
        <v>44893.0</v>
      </c>
      <c r="B8" s="8" t="s">
        <v>33</v>
      </c>
      <c r="C8" s="15"/>
      <c r="D8" s="15"/>
      <c r="E8" s="15" t="str">
        <f>IFERROR(__xludf.DUMMYFUNCTION("""COMPUTED_VALUE"""),"pengchhorng-mut@mptc.gov.kh")</f>
        <v>pengchhorng-mut@mptc.gov.kh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4">
        <v>44893.0</v>
      </c>
      <c r="B9" s="8" t="s">
        <v>35</v>
      </c>
      <c r="C9" s="15"/>
      <c r="D9" s="15"/>
      <c r="E9" s="15" t="str">
        <f>IFERROR(__xludf.DUMMYFUNCTION("""COMPUTED_VALUE"""),"sovan@mptc.gov.kh")</f>
        <v>sovan@mptc.gov.kh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4">
        <v>44893.0</v>
      </c>
      <c r="B10" s="8" t="s">
        <v>111</v>
      </c>
      <c r="C10" s="15"/>
      <c r="D10" s="15"/>
      <c r="E10" s="15" t="str">
        <f>IFERROR(__xludf.DUMMYFUNCTION("""COMPUTED_VALUE"""),"sovann-en@mptc.gov.kh")</f>
        <v>sovann-en@mptc.gov.kh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4">
        <v>44893.0</v>
      </c>
      <c r="B11" s="8" t="s">
        <v>50</v>
      </c>
      <c r="C11" s="15"/>
      <c r="D11" s="15"/>
      <c r="E11" s="15" t="str">
        <f>IFERROR(__xludf.DUMMYFUNCTION("""COMPUTED_VALUE"""),"indeara-tim@mptc.gov.kh")</f>
        <v>indeara-tim@mptc.gov.kh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4">
        <v>44894.0</v>
      </c>
      <c r="B12" s="8" t="s">
        <v>33</v>
      </c>
      <c r="C12" s="15"/>
      <c r="D12" s="15"/>
      <c r="E12" s="15" t="str">
        <f>IFERROR(__xludf.DUMMYFUNCTION("""COMPUTED_VALUE"""),"sochea-pak@mptc.gov.kh")</f>
        <v>sochea-pak@mptc.gov.kh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4">
        <v>44894.0</v>
      </c>
      <c r="B13" s="8" t="s">
        <v>112</v>
      </c>
      <c r="C13" s="15"/>
      <c r="D13" s="15"/>
      <c r="E13" s="15" t="str">
        <f>IFERROR(__xludf.DUMMYFUNCTION("""COMPUTED_VALUE"""),"chamnan-leng@mptc.gov.kh")</f>
        <v>chamnan-leng@mptc.gov.kh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4">
        <v>44894.0</v>
      </c>
      <c r="B14" s="8" t="s">
        <v>113</v>
      </c>
      <c r="C14" s="15"/>
      <c r="D14" s="15"/>
      <c r="E14" s="15" t="str">
        <f>IFERROR(__xludf.DUMMYFUNCTION("""COMPUTED_VALUE"""),"ahmath-math@mptc.gov.kh")</f>
        <v>ahmath-math@mptc.gov.kh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4">
        <v>44895.0</v>
      </c>
      <c r="B15" s="8" t="s">
        <v>55</v>
      </c>
      <c r="C15" s="15"/>
      <c r="D15" s="15"/>
      <c r="E15" s="15" t="str">
        <f>IFERROR(__xludf.DUMMYFUNCTION("""COMPUTED_VALUE"""),"chongeang-you@mptc.gov.kh")</f>
        <v>chongeang-you@mptc.gov.kh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4">
        <v>44895.0</v>
      </c>
      <c r="B16" s="8" t="s">
        <v>86</v>
      </c>
      <c r="C16" s="15"/>
      <c r="D16" s="15"/>
      <c r="E16" s="15" t="str">
        <f>IFERROR(__xludf.DUMMYFUNCTION("""COMPUTED_VALUE"""),"lam-phav@mptc.gov.kh")</f>
        <v>lam-phav@mptc.gov.kh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4">
        <v>44896.0</v>
      </c>
      <c r="B17" s="8" t="s">
        <v>114</v>
      </c>
      <c r="C17" s="15"/>
      <c r="D17" s="15"/>
      <c r="E17" s="15" t="str">
        <f>IFERROR(__xludf.DUMMYFUNCTION("""COMPUTED_VALUE"""),"suyharn-hour@mptc.gov.kh")</f>
        <v>suyharn-hour@mptc.gov.kh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4">
        <v>44896.0</v>
      </c>
      <c r="B18" s="8" t="s">
        <v>35</v>
      </c>
      <c r="C18" s="15"/>
      <c r="D18" s="15"/>
      <c r="E18" s="15" t="str">
        <f>IFERROR(__xludf.DUMMYFUNCTION("""COMPUTED_VALUE"""),"sitha-sor@mptc.gov.kh")</f>
        <v>sitha-sor@mptc.gov.kh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4">
        <v>44897.0</v>
      </c>
      <c r="B19" s="8" t="s">
        <v>115</v>
      </c>
      <c r="C19" s="15"/>
      <c r="D19" s="15"/>
      <c r="E19" s="15" t="str">
        <f>IFERROR(__xludf.DUMMYFUNCTION("""COMPUTED_VALUE"""),"kassa-chan@mptc.gov.kh")</f>
        <v>kassa-chan@mptc.gov.kh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4">
        <v>44897.0</v>
      </c>
      <c r="B20" s="8" t="s">
        <v>33</v>
      </c>
      <c r="C20" s="15"/>
      <c r="D20" s="15"/>
      <c r="E20" s="15" t="str">
        <f>IFERROR(__xludf.DUMMYFUNCTION("""COMPUTED_VALUE"""),"sokphath-ly@mptc.gov.kh")</f>
        <v>sokphath-ly@mptc.gov.kh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4">
        <v>44898.0</v>
      </c>
      <c r="B21" s="15"/>
      <c r="C21" s="15"/>
      <c r="D21" s="15"/>
      <c r="E21" s="15" t="str">
        <f>IFERROR(__xludf.DUMMYFUNCTION("""COMPUTED_VALUE"""),"viseth-son@mptc.gov.kh")</f>
        <v>viseth-son@mptc.gov.kh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4">
        <v>44899.0</v>
      </c>
      <c r="B22" s="15"/>
      <c r="C22" s="15"/>
      <c r="D22" s="15"/>
      <c r="E22" s="15" t="str">
        <f>IFERROR(__xludf.DUMMYFUNCTION("""COMPUTED_VALUE"""),"kimhok-bou@mptc.gov.kh")</f>
        <v>kimhok-bou@mptc.gov.kh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4">
        <v>44900.0</v>
      </c>
      <c r="B23" s="8" t="s">
        <v>33</v>
      </c>
      <c r="C23" s="15"/>
      <c r="D23" s="15"/>
      <c r="E23" s="15" t="str">
        <f>IFERROR(__xludf.DUMMYFUNCTION("""COMPUTED_VALUE"""),"official@mptc.gov.kh")</f>
        <v>official@mptc.gov.kh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4">
        <v>44900.0</v>
      </c>
      <c r="B24" s="8" t="s">
        <v>116</v>
      </c>
      <c r="C24" s="15"/>
      <c r="D24" s="15"/>
      <c r="E24" s="15" t="str">
        <f>IFERROR(__xludf.DUMMYFUNCTION("""COMPUTED_VALUE"""),"phimean-sovan@mptc.gov.kh")</f>
        <v>phimean-sovan@mptc.gov.kh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4">
        <v>44901.0</v>
      </c>
      <c r="B25" s="8" t="s">
        <v>35</v>
      </c>
      <c r="C25" s="15"/>
      <c r="D25" s="15"/>
      <c r="E25" s="15" t="str">
        <f>IFERROR(__xludf.DUMMYFUNCTION("""COMPUTED_VALUE"""),"piseth-chanty@mptc.gov.kh")</f>
        <v>piseth-chanty@mptc.gov.kh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4">
        <v>44901.0</v>
      </c>
      <c r="B26" s="8" t="s">
        <v>117</v>
      </c>
      <c r="C26" s="15"/>
      <c r="D26" s="15"/>
      <c r="E26" s="15" t="str">
        <f>IFERROR(__xludf.DUMMYFUNCTION("""COMPUTED_VALUE"""),"praneth-mom@mptc.gov.kh")</f>
        <v>praneth-mom@mptc.gov.kh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4">
        <v>44902.0</v>
      </c>
      <c r="B27" s="8" t="s">
        <v>33</v>
      </c>
      <c r="C27" s="15"/>
      <c r="D27" s="15"/>
      <c r="E27" s="15" t="str">
        <f>IFERROR(__xludf.DUMMYFUNCTION("""COMPUTED_VALUE"""),"viseth-than@mptc.gov.kh")</f>
        <v>viseth-than@mptc.gov.kh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4">
        <v>44902.0</v>
      </c>
      <c r="B28" s="8" t="s">
        <v>111</v>
      </c>
      <c r="C28" s="15"/>
      <c r="D28" s="15"/>
      <c r="E28" s="15" t="str">
        <f>IFERROR(__xludf.DUMMYFUNCTION("""COMPUTED_VALUE"""),"solyda-sok@mptc.gov.kh")</f>
        <v>solyda-sok@mptc.gov.kh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4">
        <v>44902.0</v>
      </c>
      <c r="B29" s="8" t="s">
        <v>118</v>
      </c>
      <c r="C29" s="15"/>
      <c r="D29" s="15"/>
      <c r="E29" s="15" t="str">
        <f>IFERROR(__xludf.DUMMYFUNCTION("""COMPUTED_VALUE"""),"ra-an@mptc.gov.kh")</f>
        <v>ra-an@mptc.gov.kh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4">
        <v>44903.0</v>
      </c>
      <c r="B30" s="15"/>
      <c r="C30" s="15"/>
      <c r="D30" s="15"/>
      <c r="E30" s="15" t="str">
        <f>IFERROR(__xludf.DUMMYFUNCTION("""COMPUTED_VALUE"""),"kimsrann-neak@mptc.gov.kh")</f>
        <v>kimsrann-neak@mptc.gov.kh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4">
        <v>44904.0</v>
      </c>
      <c r="B31" s="15"/>
      <c r="C31" s="15"/>
      <c r="D31" s="15"/>
      <c r="E31" s="15" t="str">
        <f>IFERROR(__xludf.DUMMYFUNCTION("""COMPUTED_VALUE"""),"setho-chea@mptc.gov.kh")</f>
        <v>setho-chea@mptc.gov.kh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4">
        <v>44905.0</v>
      </c>
      <c r="B32" s="15"/>
      <c r="C32" s="15"/>
      <c r="D32" s="15"/>
      <c r="E32" s="15" t="str">
        <f>IFERROR(__xludf.DUMMYFUNCTION("""COMPUTED_VALUE"""),"phanndavid-phan@mptc.gov.kh")</f>
        <v>phanndavid-phan@mptc.gov.kh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4">
        <v>44906.0</v>
      </c>
      <c r="B33" s="15"/>
      <c r="C33" s="15"/>
      <c r="D33" s="15"/>
      <c r="E33" s="15" t="str">
        <f>IFERROR(__xludf.DUMMYFUNCTION("""COMPUTED_VALUE"""),"somnang-eng@mptc.gov.kh")</f>
        <v>somnang-eng@mptc.gov.kh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4">
        <v>44907.0</v>
      </c>
      <c r="B34" s="8" t="s">
        <v>33</v>
      </c>
      <c r="C34" s="15"/>
      <c r="D34" s="15"/>
      <c r="E34" s="15" t="str">
        <f>IFERROR(__xludf.DUMMYFUNCTION("""COMPUTED_VALUE"""),"receiver@mptc.gov.kh")</f>
        <v>receiver@mptc.gov.kh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4">
        <v>44907.0</v>
      </c>
      <c r="B35" s="8" t="s">
        <v>35</v>
      </c>
      <c r="C35" s="15"/>
      <c r="D35" s="15"/>
      <c r="E35" s="15" t="str">
        <f>IFERROR(__xludf.DUMMYFUNCTION("""COMPUTED_VALUE"""),"sosithya-nhean@mptc.gov.kh")</f>
        <v>sosithya-nhean@mptc.gov.kh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4">
        <v>44907.0</v>
      </c>
      <c r="B36" s="8" t="s">
        <v>119</v>
      </c>
      <c r="C36" s="15"/>
      <c r="D36" s="15"/>
      <c r="E36" s="15" t="str">
        <f>IFERROR(__xludf.DUMMYFUNCTION("""COMPUTED_VALUE"""),"theara-lonh@mptc.gov.kh")</f>
        <v>theara-lonh@mptc.gov.kh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4">
        <v>44907.0</v>
      </c>
      <c r="B37" s="8" t="s">
        <v>118</v>
      </c>
      <c r="C37" s="15"/>
      <c r="D37" s="15"/>
      <c r="E37" s="15" t="str">
        <f>IFERROR(__xludf.DUMMYFUNCTION("""COMPUTED_VALUE"""),"piseth-an@mptc.gov.kh")</f>
        <v>piseth-an@mptc.gov.kh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4">
        <v>44907.0</v>
      </c>
      <c r="B38" s="8" t="s">
        <v>50</v>
      </c>
      <c r="C38" s="15"/>
      <c r="D38" s="15"/>
      <c r="E38" s="15" t="str">
        <f>IFERROR(__xludf.DUMMYFUNCTION("""COMPUTED_VALUE"""),"visal-ouk@mptc.gov.kh")</f>
        <v>visal-ouk@mptc.gov.kh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4">
        <v>44908.0</v>
      </c>
      <c r="B39" s="8" t="s">
        <v>33</v>
      </c>
      <c r="C39" s="15"/>
      <c r="D39" s="15"/>
      <c r="E39" s="15" t="str">
        <f>IFERROR(__xludf.DUMMYFUNCTION("""COMPUTED_VALUE"""),"rapid-sun@mptc.gov.kh")</f>
        <v>rapid-sun@mptc.gov.kh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4">
        <v>44908.0</v>
      </c>
      <c r="B40" s="8" t="s">
        <v>50</v>
      </c>
      <c r="C40" s="15"/>
      <c r="D40" s="15"/>
      <c r="E40" s="15" t="str">
        <f>IFERROR(__xludf.DUMMYFUNCTION("""COMPUTED_VALUE"""),"signkheang-kheng@mptc.gov.kh")</f>
        <v>signkheang-kheng@mptc.gov.kh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4">
        <v>44909.0</v>
      </c>
      <c r="B41" s="8" t="s">
        <v>7</v>
      </c>
      <c r="C41" s="15"/>
      <c r="D41" s="15"/>
      <c r="E41" s="15" t="str">
        <f>IFERROR(__xludf.DUMMYFUNCTION("""COMPUTED_VALUE"""),"suynaen-chong@mptc.gov.kh")</f>
        <v>suynaen-chong@mptc.gov.kh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4">
        <v>44909.0</v>
      </c>
      <c r="B42" s="8" t="s">
        <v>91</v>
      </c>
      <c r="C42" s="15"/>
      <c r="D42" s="15"/>
      <c r="E42" s="15" t="str">
        <f>IFERROR(__xludf.DUMMYFUNCTION("""COMPUTED_VALUE"""),"socheata@mptc.gov.kh")</f>
        <v>socheata@mptc.gov.kh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4">
        <v>44909.0</v>
      </c>
      <c r="B43" s="8" t="s">
        <v>120</v>
      </c>
      <c r="C43" s="15"/>
      <c r="D43" s="15"/>
      <c r="E43" s="15" t="str">
        <f>IFERROR(__xludf.DUMMYFUNCTION("""COMPUTED_VALUE"""),"sokranupheap-chim@mptc.gov.kh")</f>
        <v>sokranupheap-chim@mptc.gov.kh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4">
        <v>44909.0</v>
      </c>
      <c r="B44" s="16" t="s">
        <v>50</v>
      </c>
      <c r="C44" s="15"/>
      <c r="D44" s="15"/>
      <c r="E44" s="15" t="str">
        <f>IFERROR(__xludf.DUMMYFUNCTION("""COMPUTED_VALUE""")," tola-hoem@mptc.gov.kh")</f>
        <v> tola-hoem@mptc.gov.kh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4">
        <v>44910.0</v>
      </c>
      <c r="B45" s="8" t="s">
        <v>35</v>
      </c>
      <c r="C45" s="15"/>
      <c r="D45" s="15"/>
      <c r="E45" s="15" t="str">
        <f>IFERROR(__xludf.DUMMYFUNCTION("""COMPUTED_VALUE"""),"semtararath-pot@mptc.gov.kh")</f>
        <v>semtararath-pot@mptc.gov.kh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4">
        <v>44910.0</v>
      </c>
      <c r="B46" s="8" t="s">
        <v>120</v>
      </c>
      <c r="C46" s="15"/>
      <c r="D46" s="15"/>
      <c r="E46" s="15" t="str">
        <f>IFERROR(__xludf.DUMMYFUNCTION("""COMPUTED_VALUE"""),"chhaknak-chan@mptc.gov.kh")</f>
        <v>chhaknak-chan@mptc.gov.kh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4">
        <v>44910.0</v>
      </c>
      <c r="B47" s="8" t="s">
        <v>50</v>
      </c>
      <c r="C47" s="15"/>
      <c r="D47" s="15"/>
      <c r="E47" s="15" t="str">
        <f>IFERROR(__xludf.DUMMYFUNCTION("""COMPUTED_VALUE"""),"admin@mptc.gov.kh")</f>
        <v>admin@mptc.gov.kh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4">
        <v>44911.0</v>
      </c>
      <c r="B48" s="8" t="s">
        <v>50</v>
      </c>
      <c r="C48" s="15"/>
      <c r="D48" s="15"/>
      <c r="E48" s="15" t="str">
        <f>IFERROR(__xludf.DUMMYFUNCTION("""COMPUTED_VALUE"""),"chansopheaktra-cheam@mptc.gov.kh")</f>
        <v>chansopheaktra-cheam@mptc.gov.kh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4">
        <v>44911.0</v>
      </c>
      <c r="B49" s="8" t="s">
        <v>121</v>
      </c>
      <c r="C49" s="15"/>
      <c r="D49" s="15"/>
      <c r="E49" s="15" t="str">
        <f>IFERROR(__xludf.DUMMYFUNCTION("""COMPUTED_VALUE"""),"kanhchana-eng@mptc.gov.kh")</f>
        <v>kanhchana-eng@mptc.gov.kh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4">
        <v>44912.0</v>
      </c>
      <c r="B50" s="15"/>
      <c r="C50" s="15"/>
      <c r="D50" s="15"/>
      <c r="E50" s="15" t="str">
        <f>IFERROR(__xludf.DUMMYFUNCTION("""COMPUTED_VALUE"""),"davy-sorn@mptc.gov.kh")</f>
        <v>davy-sorn@mptc.gov.kh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4">
        <v>44913.0</v>
      </c>
      <c r="B51" s="15"/>
      <c r="C51" s="15"/>
      <c r="D51" s="15"/>
      <c r="E51" s="15" t="str">
        <f>IFERROR(__xludf.DUMMYFUNCTION("""COMPUTED_VALUE""")," suyharn-hour@mptc.gov.kh")</f>
        <v> suyharn-hour@mptc.gov.kh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4">
        <v>44914.0</v>
      </c>
      <c r="B52" s="8" t="s">
        <v>33</v>
      </c>
      <c r="C52" s="15"/>
      <c r="D52" s="15"/>
      <c r="E52" s="15" t="str">
        <f>IFERROR(__xludf.DUMMYFUNCTION("""COMPUTED_VALUE"""),"dev@mptc.gov.kh, ")</f>
        <v>dev@mptc.gov.kh, 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4">
        <v>44914.0</v>
      </c>
      <c r="B53" s="8" t="s">
        <v>122</v>
      </c>
      <c r="C53" s="15"/>
      <c r="D53" s="15"/>
      <c r="E53" s="15" t="str">
        <f>IFERROR(__xludf.DUMMYFUNCTION("""COMPUTED_VALUE"""),"sochea-pak@mptc.gov.kh, ")</f>
        <v>sochea-pak@mptc.gov.kh, 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4">
        <v>44914.0</v>
      </c>
      <c r="B54" s="8" t="s">
        <v>28</v>
      </c>
      <c r="C54" s="15"/>
      <c r="D54" s="15"/>
      <c r="E54" s="15" t="str">
        <f>IFERROR(__xludf.DUMMYFUNCTION("""COMPUTED_VALUE"""),"thavann.b@gmail.com")</f>
        <v>thavann.b@gmail.com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4">
        <v>44914.0</v>
      </c>
      <c r="B55" s="8" t="s">
        <v>123</v>
      </c>
      <c r="C55" s="15"/>
      <c r="D55" s="15"/>
      <c r="E55" s="15" t="str">
        <f>IFERROR(__xludf.DUMMYFUNCTION("""COMPUTED_VALUE"""),"sokheng-tep@mptc.gov.kh")</f>
        <v>sokheng-tep@mptc.gov.kh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4">
        <v>44914.0</v>
      </c>
      <c r="B56" s="8" t="s">
        <v>124</v>
      </c>
      <c r="C56" s="15"/>
      <c r="D56" s="15"/>
      <c r="E56" s="15" t="str">
        <f>IFERROR(__xludf.DUMMYFUNCTION("""COMPUTED_VALUE"""),"voeun-hey@mptc.gov.kh")</f>
        <v>voeun-hey@mptc.gov.kh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4">
        <v>44914.0</v>
      </c>
      <c r="B57" s="8" t="s">
        <v>125</v>
      </c>
      <c r="C57" s="15"/>
      <c r="D57" s="15"/>
      <c r="E57" s="15" t="str">
        <f>IFERROR(__xludf.DUMMYFUNCTION("""COMPUTED_VALUE"""),"lyhongny-horm@mptc.gov.kh")</f>
        <v>lyhongny-horm@mptc.gov.kh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4">
        <v>44914.0</v>
      </c>
      <c r="B58" s="8" t="s">
        <v>118</v>
      </c>
      <c r="C58" s="15"/>
      <c r="D58" s="15"/>
      <c r="E58" s="15" t="str">
        <f>IFERROR(__xludf.DUMMYFUNCTION("""COMPUTED_VALUE"""),"monyvibol-sat@mptc.gov.kh")</f>
        <v>monyvibol-sat@mptc.gov.kh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4">
        <v>44914.0</v>
      </c>
      <c r="B59" s="8" t="s">
        <v>126</v>
      </c>
      <c r="C59" s="15"/>
      <c r="D59" s="15"/>
      <c r="E59" s="15" t="str">
        <f>IFERROR(__xludf.DUMMYFUNCTION("""COMPUTED_VALUE"""),"noeun-kong@mptc.gov.kh")</f>
        <v>noeun-kong@mptc.gov.kh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4">
        <v>44915.0</v>
      </c>
      <c r="B60" s="8" t="s">
        <v>33</v>
      </c>
      <c r="C60" s="15"/>
      <c r="D60" s="15"/>
      <c r="E60" s="15" t="str">
        <f>IFERROR(__xludf.DUMMYFUNCTION("""COMPUTED_VALUE"""),"scheduler@mptc.gov.kh")</f>
        <v>scheduler@mptc.gov.kh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4">
        <v>44915.0</v>
      </c>
      <c r="B61" s="8" t="s">
        <v>127</v>
      </c>
      <c r="C61" s="15"/>
      <c r="D61" s="15"/>
      <c r="E61" s="15" t="str">
        <f>IFERROR(__xludf.DUMMYFUNCTION("""COMPUTED_VALUE"""),"sophea-uk@mptc.gov.kh")</f>
        <v>sophea-uk@mptc.gov.kh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4">
        <v>44916.0</v>
      </c>
      <c r="B62" s="8" t="s">
        <v>33</v>
      </c>
      <c r="C62" s="15"/>
      <c r="D62" s="15"/>
      <c r="E62" s="15" t="str">
        <f>IFERROR(__xludf.DUMMYFUNCTION("""COMPUTED_VALUE"""),"sothon-pov@mptc.gov.kh")</f>
        <v>sothon-pov@mptc.gov.kh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4">
        <v>44916.0</v>
      </c>
      <c r="B63" s="8" t="s">
        <v>28</v>
      </c>
      <c r="C63" s="15"/>
      <c r="D63" s="15"/>
      <c r="E63" s="15" t="str">
        <f>IFERROR(__xludf.DUMMYFUNCTION("""COMPUTED_VALUE"""),"navy-sun@mptc.gov.kh")</f>
        <v>navy-sun@mptc.gov.kh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4">
        <v>44916.0</v>
      </c>
      <c r="B64" s="8" t="s">
        <v>111</v>
      </c>
      <c r="C64" s="15"/>
      <c r="D64" s="15"/>
      <c r="E64" s="15" t="str">
        <f>IFERROR(__xludf.DUMMYFUNCTION("""COMPUTED_VALUE"""),"solar-pich@mptc.gov.kh")</f>
        <v>solar-pich@mptc.gov.kh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4">
        <v>44916.0</v>
      </c>
      <c r="B65" s="8" t="s">
        <v>125</v>
      </c>
      <c r="C65" s="15"/>
      <c r="D65" s="15"/>
      <c r="E65" s="15" t="str">
        <f>IFERROR(__xludf.DUMMYFUNCTION("""COMPUTED_VALUE"""),"kong@mptc.gov.kh")</f>
        <v>kong@mptc.gov.kh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7">
        <v>44917.0</v>
      </c>
      <c r="B66" s="18" t="s">
        <v>24</v>
      </c>
      <c r="C66" s="15"/>
      <c r="D66" s="15"/>
      <c r="E66" s="15" t="str">
        <f>IFERROR(__xludf.DUMMYFUNCTION("""COMPUTED_VALUE"""),"mardy-peng@mptc.gov.kh")</f>
        <v>mardy-peng@mptc.gov.kh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7">
        <v>44918.0</v>
      </c>
      <c r="B67" s="8" t="s">
        <v>111</v>
      </c>
      <c r="C67" s="15"/>
      <c r="D67" s="15"/>
      <c r="E67" s="15" t="str">
        <f>IFERROR(__xludf.DUMMYFUNCTION("""COMPUTED_VALUE"""),"dararith-hoeung@mptc.gov.kh")</f>
        <v>dararith-hoeung@mptc.gov.kh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7">
        <v>44918.0</v>
      </c>
      <c r="B68" s="8" t="s">
        <v>50</v>
      </c>
      <c r="C68" s="15"/>
      <c r="D68" s="15"/>
      <c r="E68" s="15" t="str">
        <f>IFERROR(__xludf.DUMMYFUNCTION("""COMPUTED_VALUE"""),"sophanith-pech@mptc.gov.kh")</f>
        <v>sophanith-pech@mptc.gov.kh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7">
        <v>44919.0</v>
      </c>
      <c r="B69" s="15"/>
      <c r="C69" s="15"/>
      <c r="D69" s="15"/>
      <c r="E69" s="15" t="str">
        <f>IFERROR(__xludf.DUMMYFUNCTION("""COMPUTED_VALUE"""),"saman-lun@mptc.gov.kh")</f>
        <v>saman-lun@mptc.gov.kh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7">
        <v>44920.0</v>
      </c>
      <c r="B70" s="15"/>
      <c r="C70" s="15"/>
      <c r="D70" s="15"/>
      <c r="E70" s="15" t="str">
        <f>IFERROR(__xludf.DUMMYFUNCTION("""COMPUTED_VALUE"""),"kimhuy-touch@mptc.gov.kh")</f>
        <v>kimhuy-touch@mptc.gov.kh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4">
        <v>44921.0</v>
      </c>
      <c r="B71" s="8" t="s">
        <v>128</v>
      </c>
      <c r="C71" s="15"/>
      <c r="D71" s="15"/>
      <c r="E71" s="15" t="str">
        <f>IFERROR(__xludf.DUMMYFUNCTION("""COMPUTED_VALUE"""),"morokot-cheat@mptc.gov.kh")</f>
        <v>morokot-cheat@mptc.gov.kh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4">
        <v>44921.0</v>
      </c>
      <c r="B72" s="8" t="s">
        <v>124</v>
      </c>
      <c r="C72" s="15"/>
      <c r="D72" s="15"/>
      <c r="E72" s="15" t="str">
        <f>IFERROR(__xludf.DUMMYFUNCTION("""COMPUTED_VALUE"""),"sichhiek-seng@mptc.gov.kh")</f>
        <v>sichhiek-seng@mptc.gov.kh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4">
        <v>44921.0</v>
      </c>
      <c r="B73" s="8" t="s">
        <v>126</v>
      </c>
      <c r="C73" s="15"/>
      <c r="D73" s="15"/>
      <c r="E73" s="15" t="str">
        <f>IFERROR(__xludf.DUMMYFUNCTION("""COMPUTED_VALUE"""),"vanna-phy@mptc.gov.kh")</f>
        <v>vanna-phy@mptc.gov.kh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4">
        <v>44922.0</v>
      </c>
      <c r="B74" s="8" t="s">
        <v>33</v>
      </c>
      <c r="C74" s="15"/>
      <c r="D74" s="15"/>
      <c r="E74" s="15" t="str">
        <f>IFERROR(__xludf.DUMMYFUNCTION("""COMPUTED_VALUE"""),"khunheng-khay@mptc.gov.kh")</f>
        <v>khunheng-khay@mptc.gov.kh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4">
        <v>44922.0</v>
      </c>
      <c r="B75" s="8" t="s">
        <v>121</v>
      </c>
      <c r="C75" s="15"/>
      <c r="D75" s="15"/>
      <c r="E75" s="15" t="str">
        <f>IFERROR(__xludf.DUMMYFUNCTION("""COMPUTED_VALUE"""),"vandeth@mptc.gov.kh")</f>
        <v>vandeth@mptc.gov.kh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9">
        <v>44923.0</v>
      </c>
      <c r="B76" s="8" t="s">
        <v>28</v>
      </c>
      <c r="C76" s="15"/>
      <c r="D76" s="15"/>
      <c r="E76" s="15" t="str">
        <f>IFERROR(__xludf.DUMMYFUNCTION("""COMPUTED_VALUE"""),"angkearathanak@mptc.gov.kh")</f>
        <v>angkearathanak@mptc.gov.kh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9">
        <v>44924.0</v>
      </c>
      <c r="B77" s="15"/>
      <c r="C77" s="15"/>
      <c r="D77" s="15"/>
      <c r="E77" s="15" t="str">
        <f>IFERROR(__xludf.DUMMYFUNCTION("""COMPUTED_VALUE"""),"angkeasela@mptc.gov.kh")</f>
        <v>angkeasela@mptc.gov.kh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9">
        <v>44925.0</v>
      </c>
      <c r="B78" s="15"/>
      <c r="C78" s="15"/>
      <c r="D78" s="15"/>
      <c r="E78" s="15" t="str">
        <f>IFERROR(__xludf.DUMMYFUNCTION("""COMPUTED_VALUE"""),"kimheng-liv@mptc.gov.kh")</f>
        <v>kimheng-liv@mptc.gov.kh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9">
        <v>44926.0</v>
      </c>
      <c r="B79" s="15"/>
      <c r="C79" s="15"/>
      <c r="D79" s="15"/>
      <c r="E79" s="15" t="str">
        <f>IFERROR(__xludf.DUMMYFUNCTION("""COMPUTED_VALUE"""),"vicheka-sek@mptc.gov.kh")</f>
        <v>vicheka-sek@mptc.gov.kh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9">
        <v>44927.0</v>
      </c>
      <c r="B80" s="15"/>
      <c r="C80" s="15"/>
      <c r="D80" s="15"/>
      <c r="E80" s="15" t="str">
        <f>IFERROR(__xludf.DUMMYFUNCTION("""COMPUTED_VALUE"""),"visal-kron@mptc.gov.kh")</f>
        <v>visal-kron@mptc.gov.kh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7">
        <v>44928.0</v>
      </c>
      <c r="B81" s="20" t="s">
        <v>33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7">
        <v>44928.0</v>
      </c>
      <c r="B82" s="8" t="s">
        <v>129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7">
        <v>44928.0</v>
      </c>
      <c r="B83" s="8" t="s">
        <v>50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7">
        <v>44929.0</v>
      </c>
      <c r="B84" s="20" t="s">
        <v>28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7">
        <v>44929.0</v>
      </c>
      <c r="B85" s="8" t="s">
        <v>130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7">
        <v>44929.0</v>
      </c>
      <c r="B86" s="8" t="s">
        <v>131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7">
        <v>44930.0</v>
      </c>
      <c r="B87" s="20" t="s">
        <v>91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7">
        <v>44930.0</v>
      </c>
      <c r="B88" s="8" t="s">
        <v>117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7">
        <v>44930.0</v>
      </c>
      <c r="B89" s="8" t="s">
        <v>123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7">
        <v>44931.0</v>
      </c>
      <c r="B90" s="20" t="s">
        <v>55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7">
        <v>44931.0</v>
      </c>
      <c r="B91" s="8" t="s">
        <v>91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7">
        <v>44932.0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7">
        <v>44933.0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7">
        <v>44934.0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7">
        <v>44935.0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7">
        <v>44936.0</v>
      </c>
      <c r="B96" s="18" t="s">
        <v>33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7">
        <v>44937.0</v>
      </c>
      <c r="B97" s="20" t="s">
        <v>114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7">
        <v>44937.0</v>
      </c>
      <c r="B98" s="8" t="s">
        <v>132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7">
        <v>44938.0</v>
      </c>
      <c r="B99" s="18" t="s">
        <v>35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7">
        <v>44939.0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7">
        <v>44940.0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7">
        <v>44941.0</v>
      </c>
      <c r="B102" s="18" t="s">
        <v>35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7">
        <v>44942.0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7">
        <v>44943.0</v>
      </c>
      <c r="B104" s="20" t="s">
        <v>133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7">
        <v>44943.0</v>
      </c>
      <c r="B105" s="8" t="s">
        <v>134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7">
        <v>44944.0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7">
        <v>44945.0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7">
        <v>44946.0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7">
        <v>44947.0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7">
        <v>44948.0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7">
        <v>44949.0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7">
        <v>44950.0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7">
        <v>44951.0</v>
      </c>
      <c r="B113" s="8" t="s">
        <v>28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7">
        <v>44951.0</v>
      </c>
      <c r="B114" s="8" t="s">
        <v>135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7">
        <v>44951.0</v>
      </c>
      <c r="B115" s="8" t="s">
        <v>113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7">
        <v>44951.0</v>
      </c>
      <c r="B116" s="8" t="s">
        <v>136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7">
        <v>44952.0</v>
      </c>
      <c r="B117" s="8" t="s">
        <v>35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7">
        <v>44952.0</v>
      </c>
      <c r="B118" s="8" t="s">
        <v>117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7">
        <v>44952.0</v>
      </c>
      <c r="B119" s="8" t="s">
        <v>28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7">
        <v>44952.0</v>
      </c>
      <c r="B120" s="8" t="s">
        <v>50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7">
        <v>44953.0</v>
      </c>
      <c r="B121" s="8" t="s">
        <v>35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7">
        <v>44953.0</v>
      </c>
      <c r="B122" s="8" t="s">
        <v>135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7">
        <v>44954.0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7">
        <v>44955.0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7">
        <v>44956.0</v>
      </c>
      <c r="B125" s="8" t="s">
        <v>33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7">
        <v>44956.0</v>
      </c>
      <c r="B126" s="8" t="s">
        <v>35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7">
        <v>44956.0</v>
      </c>
      <c r="B127" s="8" t="s">
        <v>55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7">
        <v>44956.0</v>
      </c>
      <c r="B128" s="8" t="s">
        <v>124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7">
        <v>44956.0</v>
      </c>
      <c r="B129" s="8" t="s">
        <v>137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7">
        <v>44956.0</v>
      </c>
      <c r="B130" s="8" t="s">
        <v>42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7">
        <v>44957.0</v>
      </c>
      <c r="B131" s="8" t="s">
        <v>33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7">
        <v>44957.0</v>
      </c>
      <c r="B132" s="8" t="s">
        <v>35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7">
        <v>44957.0</v>
      </c>
      <c r="B133" s="8" t="s">
        <v>28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7">
        <v>44957.0</v>
      </c>
      <c r="B134" s="8" t="s">
        <v>111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7">
        <v>44957.0</v>
      </c>
      <c r="B135" s="16" t="s">
        <v>130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7">
        <v>44957.0</v>
      </c>
      <c r="B136" s="8" t="s">
        <v>132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7">
        <v>44957.0</v>
      </c>
      <c r="B137" s="8" t="s">
        <v>42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7">
        <v>44957.0</v>
      </c>
      <c r="B138" s="8" t="s">
        <v>138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7">
        <v>44958.0</v>
      </c>
      <c r="B139" s="8" t="s">
        <v>42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7">
        <v>44959.0</v>
      </c>
      <c r="B140" s="8" t="s">
        <v>35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7">
        <v>44959.0</v>
      </c>
      <c r="B141" s="8" t="s">
        <v>28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7">
        <v>44959.0</v>
      </c>
      <c r="B142" s="8" t="s">
        <v>132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7">
        <v>44959.0</v>
      </c>
      <c r="B143" s="8" t="s">
        <v>42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7">
        <v>44959.0</v>
      </c>
      <c r="B144" s="8" t="s">
        <v>139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7">
        <v>44959.0</v>
      </c>
      <c r="B145" s="8" t="s">
        <v>140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7">
        <v>44960.0</v>
      </c>
      <c r="B146" s="8" t="s">
        <v>35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7">
        <v>44960.0</v>
      </c>
      <c r="B147" s="8" t="s">
        <v>55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7">
        <v>44960.0</v>
      </c>
      <c r="B148" s="8" t="s">
        <v>28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7">
        <v>44960.0</v>
      </c>
      <c r="B149" s="8" t="s">
        <v>111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7">
        <v>44960.0</v>
      </c>
      <c r="B150" s="8" t="s">
        <v>132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7">
        <v>44960.0</v>
      </c>
      <c r="B151" s="8" t="s">
        <v>42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7">
        <v>44960.0</v>
      </c>
      <c r="B152" s="8" t="s">
        <v>140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7">
        <v>44961.0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7">
        <v>44962.0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7">
        <v>44963.0</v>
      </c>
      <c r="B155" s="8" t="s">
        <v>33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7">
        <v>44963.0</v>
      </c>
      <c r="B156" s="8" t="s">
        <v>35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7">
        <v>44963.0</v>
      </c>
      <c r="B157" s="8" t="s">
        <v>111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7">
        <v>44963.0</v>
      </c>
      <c r="B158" s="8" t="s">
        <v>141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7">
        <v>44963.0</v>
      </c>
      <c r="B159" s="8" t="s">
        <v>126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7">
        <v>44964.0</v>
      </c>
      <c r="B160" s="8" t="s">
        <v>35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7">
        <v>44964.0</v>
      </c>
      <c r="B161" s="8" t="s">
        <v>128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7">
        <v>44964.0</v>
      </c>
      <c r="B162" s="8" t="s">
        <v>124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7">
        <v>44964.0</v>
      </c>
      <c r="B163" s="8" t="s">
        <v>140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7">
        <v>44965.0</v>
      </c>
      <c r="B164" s="8" t="s">
        <v>28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7">
        <v>44966.0</v>
      </c>
      <c r="B165" s="8" t="s">
        <v>35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7">
        <v>44966.0</v>
      </c>
      <c r="B166" s="8" t="s">
        <v>28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7">
        <v>44966.0</v>
      </c>
      <c r="B167" s="8" t="s">
        <v>142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7">
        <v>44966.0</v>
      </c>
      <c r="B168" s="8" t="s">
        <v>50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7">
        <v>44967.0</v>
      </c>
      <c r="B169" s="8" t="s">
        <v>143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7">
        <v>44967.0</v>
      </c>
      <c r="B170" s="8" t="s">
        <v>35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7">
        <v>44967.0</v>
      </c>
      <c r="B171" s="8" t="s">
        <v>111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7">
        <v>44967.0</v>
      </c>
      <c r="B172" s="8" t="s">
        <v>139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7">
        <v>44967.0</v>
      </c>
      <c r="B173" s="8" t="s">
        <v>50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7">
        <v>44968.0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7">
        <v>44969.0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7">
        <v>44970.0</v>
      </c>
      <c r="B176" s="8" t="s">
        <v>117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7">
        <v>44970.0</v>
      </c>
      <c r="B177" s="8" t="s">
        <v>50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7">
        <v>44971.0</v>
      </c>
      <c r="B178" s="8" t="s">
        <v>50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7">
        <v>44972.0</v>
      </c>
      <c r="B179" s="8" t="s">
        <v>50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7">
        <v>44973.0</v>
      </c>
      <c r="B180" s="8" t="s">
        <v>144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7">
        <v>44973.0</v>
      </c>
      <c r="B181" s="16" t="s">
        <v>50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7">
        <v>44974.0</v>
      </c>
      <c r="B182" s="8" t="s">
        <v>145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7">
        <v>44974.0</v>
      </c>
      <c r="B183" s="8" t="s">
        <v>50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7">
        <v>44975.0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7">
        <v>44976.0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7">
        <v>44977.0</v>
      </c>
      <c r="B186" s="8" t="s">
        <v>35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7">
        <v>44977.0</v>
      </c>
      <c r="B187" s="16" t="s">
        <v>55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7">
        <v>44977.0</v>
      </c>
      <c r="B188" s="16" t="s">
        <v>146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7">
        <v>44977.0</v>
      </c>
      <c r="B189" s="8" t="s">
        <v>50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7">
        <v>44978.0</v>
      </c>
      <c r="B190" s="8" t="s">
        <v>117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7">
        <v>44978.0</v>
      </c>
      <c r="B191" s="8" t="s">
        <v>139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7">
        <v>44978.0</v>
      </c>
      <c r="B192" s="8" t="s">
        <v>50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7">
        <v>44979.0</v>
      </c>
      <c r="B193" s="8" t="s">
        <v>55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7">
        <v>44980.0</v>
      </c>
      <c r="B194" s="8" t="s">
        <v>86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7">
        <v>44980.0</v>
      </c>
      <c r="B195" s="8" t="s">
        <v>50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7">
        <v>44981.0</v>
      </c>
      <c r="B196" s="8" t="s">
        <v>35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7">
        <v>44981.0</v>
      </c>
      <c r="B197" s="8" t="s">
        <v>55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7">
        <v>44981.0</v>
      </c>
      <c r="B198" s="8" t="s">
        <v>28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7">
        <v>44981.0</v>
      </c>
      <c r="B199" s="8" t="s">
        <v>86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7">
        <v>44981.0</v>
      </c>
      <c r="B200" s="8" t="s">
        <v>50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7">
        <v>44981.0</v>
      </c>
      <c r="B201" s="8" t="s">
        <v>136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7">
        <v>44982.0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7">
        <v>44983.0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7">
        <v>44984.0</v>
      </c>
      <c r="B204" s="8" t="s">
        <v>115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7">
        <v>44984.0</v>
      </c>
      <c r="B205" s="8" t="s">
        <v>116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7">
        <v>44984.0</v>
      </c>
      <c r="B206" s="8" t="s">
        <v>55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7">
        <v>44984.0</v>
      </c>
      <c r="B207" s="8" t="s">
        <v>128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7">
        <v>44984.0</v>
      </c>
      <c r="B208" s="8" t="s">
        <v>50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7">
        <v>44985.0</v>
      </c>
      <c r="B209" s="8" t="s">
        <v>147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7">
        <v>44985.0</v>
      </c>
      <c r="B210" s="8" t="s">
        <v>35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7">
        <v>44985.0</v>
      </c>
      <c r="B211" s="8" t="s">
        <v>117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7">
        <v>44985.0</v>
      </c>
      <c r="B212" s="8" t="s">
        <v>148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7">
        <v>44985.0</v>
      </c>
      <c r="B213" s="8" t="s">
        <v>50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7">
        <v>44986.0</v>
      </c>
      <c r="B214" s="8" t="s">
        <v>91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7">
        <v>44986.0</v>
      </c>
      <c r="B215" s="8" t="s">
        <v>86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7">
        <v>44986.0</v>
      </c>
      <c r="B216" s="8" t="s">
        <v>134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7">
        <v>44986.0</v>
      </c>
      <c r="B217" s="8" t="s">
        <v>50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7">
        <v>44987.0</v>
      </c>
      <c r="B218" s="8" t="s">
        <v>55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7">
        <v>44987.0</v>
      </c>
      <c r="B219" s="8" t="s">
        <v>117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7">
        <v>44987.0</v>
      </c>
      <c r="B220" s="8" t="s">
        <v>111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7">
        <v>44987.0</v>
      </c>
      <c r="B221" s="8" t="s">
        <v>50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7">
        <v>44988.0</v>
      </c>
      <c r="B222" s="8" t="s">
        <v>91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7">
        <v>44988.0</v>
      </c>
      <c r="B223" s="8" t="s">
        <v>50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7">
        <v>44989.0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7">
        <v>44990.0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7">
        <v>44991.0</v>
      </c>
      <c r="B226" s="8" t="s">
        <v>128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7">
        <v>44991.0</v>
      </c>
      <c r="B227" s="8" t="s">
        <v>50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7">
        <v>44992.0</v>
      </c>
      <c r="B228" s="8" t="s">
        <v>116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7">
        <v>44992.0</v>
      </c>
      <c r="B229" s="8" t="s">
        <v>35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7">
        <v>44992.0</v>
      </c>
      <c r="B230" s="8" t="s">
        <v>117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7">
        <v>44992.0</v>
      </c>
      <c r="B231" s="8" t="s">
        <v>111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7">
        <v>44992.0</v>
      </c>
      <c r="B232" s="8" t="s">
        <v>86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7">
        <v>44992.0</v>
      </c>
      <c r="B233" s="8" t="s">
        <v>118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7">
        <v>44992.0</v>
      </c>
      <c r="B234" s="8" t="s">
        <v>50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7">
        <v>44993.0</v>
      </c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7">
        <v>44994.0</v>
      </c>
      <c r="B236" s="8" t="s">
        <v>149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7">
        <v>44994.0</v>
      </c>
      <c r="B237" s="8" t="s">
        <v>150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7">
        <v>44994.0</v>
      </c>
      <c r="B238" s="16" t="s">
        <v>151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7">
        <v>44994.0</v>
      </c>
      <c r="B239" s="8" t="s">
        <v>50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7">
        <v>44995.0</v>
      </c>
      <c r="B240" s="8" t="s">
        <v>35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7">
        <v>44995.0</v>
      </c>
      <c r="B241" s="8" t="s">
        <v>111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7">
        <v>44996.0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7">
        <v>44997.0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7">
        <v>44998.0</v>
      </c>
      <c r="B244" s="8" t="s">
        <v>35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7">
        <v>44998.0</v>
      </c>
      <c r="B245" s="8" t="s">
        <v>55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7">
        <v>44998.0</v>
      </c>
      <c r="B246" s="8" t="s">
        <v>91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7">
        <v>44998.0</v>
      </c>
      <c r="B247" s="8" t="s">
        <v>28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7">
        <v>44998.0</v>
      </c>
      <c r="B248" s="8" t="s">
        <v>132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7">
        <v>44998.0</v>
      </c>
      <c r="B249" s="8" t="s">
        <v>139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7">
        <v>44998.0</v>
      </c>
      <c r="B250" s="8" t="s">
        <v>152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7">
        <v>44998.0</v>
      </c>
      <c r="B251" s="8" t="s">
        <v>151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7">
        <v>44998.0</v>
      </c>
      <c r="B252" s="8" t="s">
        <v>50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7">
        <v>44999.0</v>
      </c>
      <c r="B253" s="8" t="s">
        <v>35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7">
        <v>44999.0</v>
      </c>
      <c r="B254" s="8" t="s">
        <v>50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7">
        <v>45000.0</v>
      </c>
      <c r="B255" s="8" t="s">
        <v>147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7">
        <v>45000.0</v>
      </c>
      <c r="B256" s="8" t="s">
        <v>35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7">
        <v>45000.0</v>
      </c>
      <c r="B257" s="8" t="s">
        <v>91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7">
        <v>45000.0</v>
      </c>
      <c r="B258" s="8" t="s">
        <v>137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7">
        <v>45000.0</v>
      </c>
      <c r="B259" s="8" t="s">
        <v>50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7">
        <v>45000.0</v>
      </c>
      <c r="B260" s="16" t="s">
        <v>153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7">
        <v>45001.0</v>
      </c>
      <c r="B261" s="8" t="s">
        <v>35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7">
        <v>45001.0</v>
      </c>
      <c r="B262" s="8" t="s">
        <v>55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7">
        <v>45001.0</v>
      </c>
      <c r="B263" s="8" t="s">
        <v>91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7">
        <v>45001.0</v>
      </c>
      <c r="B264" s="8" t="s">
        <v>50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7">
        <v>45002.0</v>
      </c>
      <c r="B265" s="8" t="s">
        <v>35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7">
        <v>45002.0</v>
      </c>
      <c r="B266" s="8" t="s">
        <v>91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7">
        <v>45002.0</v>
      </c>
      <c r="B267" s="8" t="s">
        <v>117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7">
        <v>45002.0</v>
      </c>
      <c r="B268" s="8" t="s">
        <v>154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7">
        <v>45002.0</v>
      </c>
      <c r="B269" s="8" t="s">
        <v>155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7">
        <v>45002.0</v>
      </c>
      <c r="B270" s="8" t="s">
        <v>156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7">
        <v>45002.0</v>
      </c>
      <c r="B271" s="8" t="s">
        <v>28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7">
        <v>45002.0</v>
      </c>
      <c r="B272" s="8" t="s">
        <v>111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7">
        <v>45002.0</v>
      </c>
      <c r="B273" s="8" t="s">
        <v>132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7">
        <v>45002.0</v>
      </c>
      <c r="B274" s="8" t="s">
        <v>157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7">
        <v>45002.0</v>
      </c>
      <c r="B275" s="8" t="s">
        <v>142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7">
        <v>45003.0</v>
      </c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7">
        <v>45004.0</v>
      </c>
      <c r="B277" s="8" t="s">
        <v>35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7">
        <v>45005.0</v>
      </c>
      <c r="B278" s="8" t="s">
        <v>35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7">
        <v>45005.0</v>
      </c>
      <c r="B279" s="8" t="s">
        <v>55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7">
        <v>45005.0</v>
      </c>
      <c r="B280" s="8" t="s">
        <v>91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7">
        <v>45005.0</v>
      </c>
      <c r="B281" s="8" t="s">
        <v>154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7">
        <v>45005.0</v>
      </c>
      <c r="B282" s="8" t="s">
        <v>86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7">
        <v>45005.0</v>
      </c>
      <c r="B283" s="8" t="s">
        <v>158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7">
        <v>45005.0</v>
      </c>
      <c r="B284" s="8" t="s">
        <v>118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7">
        <v>45005.0</v>
      </c>
      <c r="B285" s="8" t="s">
        <v>50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7">
        <v>45006.0</v>
      </c>
      <c r="B286" s="8" t="s">
        <v>33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7">
        <v>45006.0</v>
      </c>
      <c r="B287" s="8" t="s">
        <v>35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7">
        <v>45006.0</v>
      </c>
      <c r="B288" s="8" t="s">
        <v>91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7">
        <v>45006.0</v>
      </c>
      <c r="B289" s="8" t="s">
        <v>128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7">
        <v>45006.0</v>
      </c>
      <c r="B290" s="8" t="s">
        <v>111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7">
        <v>45006.0</v>
      </c>
      <c r="B291" s="8" t="s">
        <v>159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7">
        <v>45006.0</v>
      </c>
      <c r="B292" s="8" t="s">
        <v>50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7">
        <v>45007.0</v>
      </c>
      <c r="B293" s="8" t="s">
        <v>35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7">
        <v>45007.0</v>
      </c>
      <c r="B294" s="8" t="s">
        <v>55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7">
        <v>45007.0</v>
      </c>
      <c r="B295" s="8" t="s">
        <v>160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7">
        <v>45007.0</v>
      </c>
      <c r="B296" s="8" t="s">
        <v>28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7">
        <v>45007.0</v>
      </c>
      <c r="B297" s="8" t="s">
        <v>86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7">
        <v>45007.0</v>
      </c>
      <c r="B298" s="8" t="s">
        <v>161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7">
        <v>45007.0</v>
      </c>
      <c r="B299" s="8" t="s">
        <v>50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7">
        <v>45008.0</v>
      </c>
      <c r="B300" s="8" t="s">
        <v>91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7">
        <v>45008.0</v>
      </c>
      <c r="B301" s="8" t="s">
        <v>86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7">
        <v>45008.0</v>
      </c>
      <c r="B302" s="8" t="s">
        <v>161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7">
        <v>45008.0</v>
      </c>
      <c r="B303" s="8" t="s">
        <v>50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7">
        <v>45009.0</v>
      </c>
      <c r="B304" s="8" t="s">
        <v>91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7">
        <v>45009.0</v>
      </c>
      <c r="B305" s="8" t="s">
        <v>130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7">
        <v>45009.0</v>
      </c>
      <c r="B306" s="8" t="s">
        <v>161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7">
        <v>45009.0</v>
      </c>
      <c r="B307" s="8" t="s">
        <v>50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7">
        <v>45010.0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7">
        <v>45011.0</v>
      </c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7">
        <v>45012.0</v>
      </c>
      <c r="B310" s="8" t="s">
        <v>50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7">
        <v>45013.0</v>
      </c>
      <c r="B311" s="8" t="s">
        <v>115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7">
        <v>45013.0</v>
      </c>
      <c r="B312" s="8" t="s">
        <v>55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7">
        <v>45013.0</v>
      </c>
      <c r="B313" s="8" t="s">
        <v>135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7">
        <v>45013.0</v>
      </c>
      <c r="B314" s="8" t="s">
        <v>50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7">
        <v>45014.0</v>
      </c>
      <c r="B315" s="8" t="s">
        <v>33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7">
        <v>45014.0</v>
      </c>
      <c r="B316" s="8" t="s">
        <v>91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7">
        <v>45015.0</v>
      </c>
      <c r="B317" s="20" t="s">
        <v>130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7">
        <v>45015.0</v>
      </c>
      <c r="B318" s="20" t="s">
        <v>50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7">
        <v>45016.0</v>
      </c>
      <c r="B319" s="20" t="s">
        <v>7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7">
        <v>45016.0</v>
      </c>
      <c r="B320" s="21" t="s">
        <v>162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7">
        <v>45016.0</v>
      </c>
      <c r="B321" s="22" t="s">
        <v>163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7">
        <v>45016.0</v>
      </c>
      <c r="B322" s="8" t="s">
        <v>129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7">
        <v>45017.0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7">
        <v>45018.0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7">
        <v>45019.0</v>
      </c>
      <c r="B325" s="10" t="s">
        <v>91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7">
        <v>45019.0</v>
      </c>
      <c r="B326" s="8" t="s">
        <v>137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7">
        <v>45019.0</v>
      </c>
      <c r="B327" s="8" t="s">
        <v>86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7">
        <v>45019.0</v>
      </c>
      <c r="B328" s="8" t="s">
        <v>113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7">
        <v>45019.0</v>
      </c>
      <c r="B329" s="8" t="s">
        <v>50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7">
        <v>45020.0</v>
      </c>
      <c r="B330" s="10" t="s">
        <v>162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7">
        <v>45020.0</v>
      </c>
      <c r="B331" s="8" t="s">
        <v>86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7">
        <v>45020.0</v>
      </c>
      <c r="B332" s="8" t="s">
        <v>50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7">
        <v>45021.0</v>
      </c>
      <c r="B333" s="8" t="s">
        <v>33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7">
        <v>45021.0</v>
      </c>
      <c r="B334" s="8" t="s">
        <v>50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7">
        <v>45022.0</v>
      </c>
      <c r="B335" s="10" t="s">
        <v>50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7">
        <v>45023.0</v>
      </c>
      <c r="B336" s="10" t="s">
        <v>33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7">
        <v>45023.0</v>
      </c>
      <c r="B337" s="8" t="s">
        <v>50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7">
        <v>45024.0</v>
      </c>
      <c r="B338" s="10" t="s">
        <v>33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7">
        <v>45025.0</v>
      </c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7">
        <v>45026.0</v>
      </c>
      <c r="B340" s="8" t="s">
        <v>115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7">
        <v>45026.0</v>
      </c>
      <c r="B341" s="8" t="s">
        <v>33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7">
        <v>45026.0</v>
      </c>
      <c r="B342" s="8" t="s">
        <v>128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7">
        <v>45026.0</v>
      </c>
      <c r="B343" s="8" t="s">
        <v>162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7">
        <v>45026.0</v>
      </c>
      <c r="B344" s="8" t="s">
        <v>50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7">
        <v>45027.0</v>
      </c>
      <c r="B345" s="10" t="s">
        <v>164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7">
        <v>45027.0</v>
      </c>
      <c r="B346" s="8" t="s">
        <v>113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7">
        <v>45027.0</v>
      </c>
      <c r="B347" s="8" t="s">
        <v>50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7">
        <v>45028.0</v>
      </c>
      <c r="B348" s="8" t="s">
        <v>33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7">
        <v>45028.0</v>
      </c>
      <c r="B349" s="8" t="s">
        <v>35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7">
        <v>45028.0</v>
      </c>
      <c r="B350" s="8" t="s">
        <v>86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7">
        <v>45028.0</v>
      </c>
      <c r="B351" s="8" t="s">
        <v>50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7">
        <v>45029.0</v>
      </c>
      <c r="B352" s="10" t="s">
        <v>86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7">
        <v>45030.0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7">
        <v>45031.0</v>
      </c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7">
        <v>45032.0</v>
      </c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7">
        <v>45033.0</v>
      </c>
      <c r="B356" s="8" t="s">
        <v>55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7">
        <v>45033.0</v>
      </c>
      <c r="B357" s="8" t="s">
        <v>50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7">
        <v>45034.0</v>
      </c>
      <c r="B358" s="8" t="s">
        <v>35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7">
        <v>45034.0</v>
      </c>
      <c r="B359" s="8" t="s">
        <v>50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7">
        <v>45035.0</v>
      </c>
      <c r="B360" s="8" t="s">
        <v>163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7">
        <v>45035.0</v>
      </c>
      <c r="B361" s="8" t="s">
        <v>86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7">
        <v>45035.0</v>
      </c>
      <c r="B362" s="8" t="s">
        <v>113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7">
        <v>45035.0</v>
      </c>
      <c r="B363" s="8" t="s">
        <v>50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7">
        <v>45036.0</v>
      </c>
      <c r="B364" s="8" t="s">
        <v>86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7">
        <v>45036.0</v>
      </c>
      <c r="B365" s="8" t="s">
        <v>165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7">
        <v>45036.0</v>
      </c>
      <c r="B366" s="8" t="s">
        <v>50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7">
        <v>45037.0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7">
        <v>45038.0</v>
      </c>
      <c r="B368" s="8" t="s">
        <v>111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7">
        <v>45038.0</v>
      </c>
      <c r="B369" s="8" t="s">
        <v>135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7">
        <v>45039.0</v>
      </c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7">
        <v>45040.0</v>
      </c>
      <c r="B371" s="10" t="s">
        <v>91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7">
        <v>45041.0</v>
      </c>
      <c r="B372" s="10" t="s">
        <v>156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7">
        <v>45041.0</v>
      </c>
      <c r="B373" s="8" t="s">
        <v>28</v>
      </c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7">
        <v>45042.0</v>
      </c>
      <c r="B374" s="8" t="s">
        <v>147</v>
      </c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7">
        <v>45042.0</v>
      </c>
      <c r="B375" s="8" t="s">
        <v>35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7">
        <v>45042.0</v>
      </c>
      <c r="B376" s="8" t="s">
        <v>117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7">
        <v>45042.0</v>
      </c>
      <c r="B377" s="8" t="s">
        <v>156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7">
        <v>45042.0</v>
      </c>
      <c r="B378" s="8" t="s">
        <v>130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7">
        <v>45043.0</v>
      </c>
      <c r="B379" s="8" t="s">
        <v>42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7">
        <v>45043.0</v>
      </c>
      <c r="B380" s="8" t="s">
        <v>147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7">
        <v>45043.0</v>
      </c>
      <c r="B381" s="8" t="s">
        <v>35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7">
        <v>45043.0</v>
      </c>
      <c r="B382" s="8" t="s">
        <v>156</v>
      </c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7">
        <v>45043.0</v>
      </c>
      <c r="B383" s="8" t="s">
        <v>86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23">
        <v>45044.0</v>
      </c>
      <c r="B384" s="24" t="s">
        <v>35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23">
        <v>45044.0</v>
      </c>
      <c r="B385" s="8" t="s">
        <v>130</v>
      </c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23">
        <v>45044.0</v>
      </c>
      <c r="B386" s="8" t="s">
        <v>166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23">
        <v>45044.0</v>
      </c>
      <c r="B387" s="8" t="s">
        <v>42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23">
        <v>45044.0</v>
      </c>
      <c r="B388" s="8" t="s">
        <v>86</v>
      </c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23">
        <v>45045.0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23">
        <v>45046.0</v>
      </c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23">
        <v>45047.0</v>
      </c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23">
        <v>45048.0</v>
      </c>
      <c r="B392" s="8" t="s">
        <v>33</v>
      </c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23">
        <v>45048.0</v>
      </c>
      <c r="B393" s="8" t="s">
        <v>113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23">
        <v>45049.0</v>
      </c>
      <c r="B394" s="8" t="s">
        <v>35</v>
      </c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23">
        <v>45049.0</v>
      </c>
      <c r="B395" s="8" t="s">
        <v>124</v>
      </c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23">
        <v>45050.0</v>
      </c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23">
        <v>45051.0</v>
      </c>
      <c r="B397" s="10" t="s">
        <v>86</v>
      </c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23">
        <v>45052.0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23">
        <v>45053.0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23">
        <v>45054.0</v>
      </c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23">
        <v>45055.0</v>
      </c>
      <c r="B401" s="8" t="s">
        <v>117</v>
      </c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23">
        <v>45055.0</v>
      </c>
      <c r="B402" s="8" t="s">
        <v>130</v>
      </c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23">
        <v>45055.0</v>
      </c>
      <c r="B403" s="8" t="s">
        <v>50</v>
      </c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23">
        <v>45056.0</v>
      </c>
      <c r="B404" s="8" t="s">
        <v>35</v>
      </c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23">
        <v>45056.0</v>
      </c>
      <c r="B405" s="8" t="s">
        <v>50</v>
      </c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23">
        <v>45057.0</v>
      </c>
      <c r="B406" s="8" t="s">
        <v>167</v>
      </c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23">
        <v>45057.0</v>
      </c>
      <c r="B407" s="8" t="s">
        <v>162</v>
      </c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23">
        <v>45057.0</v>
      </c>
      <c r="B408" s="8" t="s">
        <v>86</v>
      </c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23">
        <v>45057.0</v>
      </c>
      <c r="B409" s="8" t="s">
        <v>50</v>
      </c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23">
        <v>45058.0</v>
      </c>
      <c r="B410" s="10" t="s">
        <v>35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23">
        <v>45058.0</v>
      </c>
      <c r="B411" s="8" t="s">
        <v>128</v>
      </c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23">
        <v>45058.0</v>
      </c>
      <c r="B412" s="8" t="s">
        <v>160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23">
        <v>45058.0</v>
      </c>
      <c r="B413" s="8" t="s">
        <v>125</v>
      </c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23">
        <v>45058.0</v>
      </c>
      <c r="B414" s="8" t="s">
        <v>50</v>
      </c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23">
        <v>45059.0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23">
        <v>45060.0</v>
      </c>
      <c r="B416" s="10" t="s">
        <v>101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23">
        <v>45061.0</v>
      </c>
      <c r="B417" s="8" t="s">
        <v>55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23">
        <v>45061.0</v>
      </c>
      <c r="B418" s="8" t="s">
        <v>101</v>
      </c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23">
        <v>45061.0</v>
      </c>
      <c r="B419" s="8" t="s">
        <v>160</v>
      </c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23">
        <v>45061.0</v>
      </c>
      <c r="B420" s="8" t="s">
        <v>125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23">
        <v>45061.0</v>
      </c>
      <c r="B421" s="8" t="s">
        <v>50</v>
      </c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23">
        <v>45061.0</v>
      </c>
      <c r="B422" s="8" t="s">
        <v>136</v>
      </c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23">
        <v>45062.0</v>
      </c>
      <c r="B423" s="8" t="s">
        <v>164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23">
        <v>45062.0</v>
      </c>
      <c r="B424" s="8" t="s">
        <v>156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23">
        <v>45062.0</v>
      </c>
      <c r="B425" s="8" t="s">
        <v>28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23">
        <v>45062.0</v>
      </c>
      <c r="B426" s="8" t="s">
        <v>111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23">
        <v>45062.0</v>
      </c>
      <c r="B427" s="8" t="s">
        <v>168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23">
        <v>45062.0</v>
      </c>
      <c r="B428" s="8" t="s">
        <v>42</v>
      </c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23">
        <v>45062.0</v>
      </c>
      <c r="B429" s="8" t="s">
        <v>86</v>
      </c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23">
        <v>45062.0</v>
      </c>
      <c r="B430" s="8" t="s">
        <v>139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23">
        <v>45062.0</v>
      </c>
      <c r="B431" s="8" t="s">
        <v>169</v>
      </c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23">
        <v>45062.0</v>
      </c>
      <c r="B432" s="8" t="s">
        <v>50</v>
      </c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23">
        <v>45062.0</v>
      </c>
      <c r="B433" s="8" t="s">
        <v>114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23">
        <v>45063.0</v>
      </c>
      <c r="B434" s="8" t="s">
        <v>35</v>
      </c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23">
        <v>45063.0</v>
      </c>
      <c r="B435" s="8" t="s">
        <v>170</v>
      </c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23">
        <v>45063.0</v>
      </c>
      <c r="B436" s="8" t="s">
        <v>28</v>
      </c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23">
        <v>45063.0</v>
      </c>
      <c r="B437" s="8" t="s">
        <v>127</v>
      </c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23">
        <v>45063.0</v>
      </c>
      <c r="B438" s="8" t="s">
        <v>112</v>
      </c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23">
        <v>45063.0</v>
      </c>
      <c r="B439" s="8" t="s">
        <v>171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23">
        <v>45064.0</v>
      </c>
      <c r="B440" s="8" t="s">
        <v>156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23">
        <v>45064.0</v>
      </c>
      <c r="B441" s="8" t="s">
        <v>50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23">
        <v>45065.0</v>
      </c>
      <c r="B442" s="8" t="s">
        <v>167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23">
        <v>45065.0</v>
      </c>
      <c r="B443" s="8" t="s">
        <v>117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23">
        <v>45065.0</v>
      </c>
      <c r="B444" s="8" t="s">
        <v>156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23">
        <v>45065.0</v>
      </c>
      <c r="B445" s="8" t="s">
        <v>50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23">
        <v>45066.0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23">
        <v>45067.0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23">
        <v>45068.0</v>
      </c>
      <c r="B448" s="8" t="s">
        <v>33</v>
      </c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23">
        <v>45069.0</v>
      </c>
      <c r="B449" s="8" t="s">
        <v>156</v>
      </c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23">
        <v>45069.0</v>
      </c>
      <c r="B450" s="8" t="s">
        <v>86</v>
      </c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23">
        <v>45069.0</v>
      </c>
      <c r="B451" s="8" t="s">
        <v>50</v>
      </c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23">
        <v>45070.0</v>
      </c>
      <c r="B452" s="8" t="s">
        <v>172</v>
      </c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23">
        <v>45070.0</v>
      </c>
      <c r="B453" s="8" t="s">
        <v>173</v>
      </c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23">
        <v>45070.0</v>
      </c>
      <c r="B454" s="8" t="s">
        <v>35</v>
      </c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23">
        <v>45070.0</v>
      </c>
      <c r="B455" s="8" t="s">
        <v>174</v>
      </c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23">
        <v>45070.0</v>
      </c>
      <c r="B456" s="8" t="s">
        <v>117</v>
      </c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23">
        <v>45070.0</v>
      </c>
      <c r="B457" s="8" t="s">
        <v>155</v>
      </c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23">
        <v>45070.0</v>
      </c>
      <c r="B458" s="8" t="s">
        <v>156</v>
      </c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23">
        <v>45070.0</v>
      </c>
      <c r="B459" s="8" t="s">
        <v>171</v>
      </c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23">
        <v>45070.0</v>
      </c>
      <c r="B460" s="8" t="s">
        <v>169</v>
      </c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23">
        <v>45070.0</v>
      </c>
      <c r="B461" s="8" t="s">
        <v>175</v>
      </c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23">
        <v>45070.0</v>
      </c>
      <c r="B462" s="8" t="s">
        <v>176</v>
      </c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23">
        <v>45070.0</v>
      </c>
      <c r="B463" s="8" t="s">
        <v>50</v>
      </c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</sheetData>
  <drawing r:id="rId1"/>
</worksheet>
</file>